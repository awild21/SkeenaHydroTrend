
<file path=[Content_Types].xml><?xml version="1.0" encoding="utf-8"?>
<Types xmlns="http://schemas.openxmlformats.org/package/2006/content-type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defaultThemeVersion="166925"/>
  <mc:AlternateContent xmlns:mc="http://schemas.openxmlformats.org/markup-compatibility/2006">
    <mc:Choice Requires="x15">
      <x15ac:absPath xmlns:x15ac="http://schemas.microsoft.com/office/spreadsheetml/2010/11/ac" url="/Users/awild/Desktop/2023FinalWaterManuscript/supplementaryMaterials/"/>
    </mc:Choice>
  </mc:AlternateContent>
  <xr:revisionPtr revIDLastSave="0" documentId="13_ncr:1_{7B961763-42ED-F44E-9E30-573049F4BBC4}" xr6:coauthVersionLast="47" xr6:coauthVersionMax="47" xr10:uidLastSave="{00000000-0000-0000-0000-000000000000}"/>
  <bookViews>
    <workbookView xWindow="0" yWindow="500" windowWidth="35840" windowHeight="22400" activeTab="2" xr2:uid="{9F76AC70-FEB6-6246-9DAB-EF47B1FF126D}"/>
  </bookViews>
  <sheets>
    <sheet name="Introduction" sheetId="15" r:id="rId1"/>
    <sheet name="ValidationQ_SBIwGCMs" sheetId="8" r:id="rId2"/>
    <sheet name="ValidationCs_SBILithFact2" sheetId="5" r:id="rId3"/>
    <sheet name="UncertaintyCs_SBILith1.5to2" sheetId="7" r:id="rId4"/>
    <sheet name="UncertaintyQs_SBILith1.5to2" sheetId="16" r:id="rId5"/>
    <sheet name="UncertaintyQs_SBCLith1.5to1" sheetId="17" r:id="rId6"/>
    <sheet name="UncertainQb_WSslope0.00030.0001" sheetId="18"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M9" i="17" l="1"/>
  <c r="K9" i="17"/>
  <c r="I9" i="17"/>
  <c r="O24" i="16"/>
  <c r="K24" i="16"/>
  <c r="G24" i="16"/>
  <c r="C24" i="16"/>
  <c r="N26" i="16"/>
  <c r="J26" i="16"/>
  <c r="F26" i="16"/>
  <c r="S9" i="18"/>
  <c r="W10" i="18"/>
  <c r="U10" i="18"/>
  <c r="K11" i="18"/>
  <c r="I11" i="18"/>
  <c r="G11" i="18"/>
  <c r="E11" i="18"/>
  <c r="E8" i="18" s="1"/>
  <c r="E7" i="18" s="1"/>
  <c r="C11" i="18"/>
  <c r="K12" i="17" l="1"/>
  <c r="M12" i="17"/>
  <c r="U7" i="18"/>
  <c r="W7" i="18"/>
  <c r="I8" i="18"/>
  <c r="I7" i="18" s="1"/>
  <c r="N21" i="7" l="1"/>
  <c r="N29" i="8"/>
  <c r="L29" i="8"/>
  <c r="J29" i="8"/>
  <c r="G29" i="8"/>
  <c r="N28" i="8"/>
  <c r="L28" i="8"/>
  <c r="J28" i="8"/>
  <c r="G28" i="8"/>
  <c r="M8" i="7"/>
  <c r="M7" i="7"/>
  <c r="M10" i="7"/>
  <c r="AA19" i="7"/>
  <c r="T19" i="7"/>
  <c r="AA18" i="7"/>
  <c r="T18" i="7"/>
  <c r="M19" i="7"/>
  <c r="AA17" i="7"/>
  <c r="T17" i="7"/>
  <c r="M18" i="7"/>
  <c r="AA16" i="7"/>
  <c r="T16" i="7"/>
  <c r="M17" i="7"/>
  <c r="AA15" i="7"/>
  <c r="T15" i="7"/>
  <c r="M16" i="7"/>
  <c r="AA14" i="7"/>
  <c r="T14" i="7"/>
  <c r="M15" i="7"/>
  <c r="AA13" i="7"/>
  <c r="T13" i="7"/>
  <c r="M14" i="7"/>
  <c r="AA12" i="7"/>
  <c r="T12" i="7"/>
  <c r="M13" i="7"/>
  <c r="AA11" i="7"/>
  <c r="T11" i="7"/>
  <c r="M12" i="7"/>
  <c r="AA10" i="7"/>
  <c r="T10" i="7"/>
  <c r="M11" i="7"/>
  <c r="AA9" i="7"/>
  <c r="T9" i="7"/>
  <c r="AA8" i="7"/>
  <c r="T8" i="7"/>
  <c r="M9" i="7"/>
  <c r="AA7" i="7"/>
  <c r="T7" i="7"/>
  <c r="V15" i="5" l="1"/>
  <c r="Q15" i="5"/>
  <c r="L15" i="5"/>
  <c r="V14" i="5"/>
  <c r="Q14" i="5"/>
  <c r="L14" i="5"/>
  <c r="V13" i="5"/>
  <c r="Q13" i="5"/>
  <c r="L13" i="5"/>
  <c r="V12" i="5"/>
  <c r="Q12" i="5"/>
  <c r="L12" i="5"/>
  <c r="V11" i="5"/>
  <c r="Q11" i="5"/>
  <c r="L11" i="5"/>
  <c r="V10" i="5"/>
  <c r="Q10" i="5"/>
  <c r="L10" i="5"/>
  <c r="V9" i="5"/>
  <c r="Q9" i="5"/>
  <c r="L9" i="5"/>
  <c r="V8" i="5"/>
  <c r="Q8" i="5"/>
  <c r="L8" i="5"/>
  <c r="V7" i="5"/>
  <c r="Q7" i="5"/>
  <c r="L7" i="5"/>
  <c r="V6" i="5"/>
  <c r="Q6" i="5"/>
  <c r="L6" i="5"/>
  <c r="V5" i="5"/>
  <c r="Q5" i="5"/>
  <c r="L5" i="5"/>
  <c r="V4" i="5"/>
  <c r="Q4" i="5"/>
  <c r="L4" i="5"/>
  <c r="V3" i="5"/>
  <c r="Q3" i="5"/>
  <c r="L3" i="5"/>
  <c r="L2" i="5"/>
</calcChain>
</file>

<file path=xl/sharedStrings.xml><?xml version="1.0" encoding="utf-8"?>
<sst xmlns="http://schemas.openxmlformats.org/spreadsheetml/2006/main" count="1182" uniqueCount="135">
  <si>
    <t>USK Discharge (m3/s)</t>
  </si>
  <si>
    <t>Usk CS</t>
  </si>
  <si>
    <t xml:space="preserve">Usk CS (kg/m^3) </t>
  </si>
  <si>
    <t>Load (kg/s)</t>
  </si>
  <si>
    <t>Nov 384 m3/s</t>
  </si>
  <si>
    <t>Sept 469 m3/s</t>
  </si>
  <si>
    <t>March 156 m3/s</t>
  </si>
  <si>
    <t>Aug 673 m3/s</t>
  </si>
  <si>
    <t>Aug 801 m3/s</t>
  </si>
  <si>
    <t xml:space="preserve">April 436 m3/s </t>
  </si>
  <si>
    <t>May 1250 m3/s</t>
  </si>
  <si>
    <t>June 2340 m3/s</t>
  </si>
  <si>
    <t>June 2420 m3/s</t>
  </si>
  <si>
    <t>June 3030 m3/s</t>
  </si>
  <si>
    <t>June 2870 m3/s</t>
  </si>
  <si>
    <t>May 3290 m3/s</t>
  </si>
  <si>
    <t>ECCC Discharge</t>
  </si>
  <si>
    <t>ECCC CS</t>
  </si>
  <si>
    <t>SD</t>
  </si>
  <si>
    <t>ACCESS Discharge</t>
  </si>
  <si>
    <t>ACCESS CS</t>
  </si>
  <si>
    <t>CANESM DISCHARGE</t>
  </si>
  <si>
    <t>CANESM CS</t>
  </si>
  <si>
    <t>CNRM DISCHARGE</t>
  </si>
  <si>
    <t>CNRM CS</t>
  </si>
  <si>
    <t>Usk</t>
  </si>
  <si>
    <t>Jan</t>
  </si>
  <si>
    <t>Feb</t>
  </si>
  <si>
    <t>Mar</t>
  </si>
  <si>
    <t>Apr</t>
  </si>
  <si>
    <t>May</t>
  </si>
  <si>
    <t>Jun</t>
  </si>
  <si>
    <t>Jul</t>
  </si>
  <si>
    <t>Aug</t>
  </si>
  <si>
    <t>Sep</t>
  </si>
  <si>
    <t>Oct</t>
  </si>
  <si>
    <t>Nov</t>
  </si>
  <si>
    <t>Dec</t>
  </si>
  <si>
    <t>t-Test: Two-Sample Assuming Unequal Variances</t>
  </si>
  <si>
    <t>Mean</t>
  </si>
  <si>
    <t>Variance</t>
  </si>
  <si>
    <t>Observations</t>
  </si>
  <si>
    <t>Hypothesized Mean Difference</t>
  </si>
  <si>
    <t>df</t>
  </si>
  <si>
    <t>t Stat</t>
  </si>
  <si>
    <t>P(T&lt;=t) one-tail</t>
  </si>
  <si>
    <t>t Critical one-tail</t>
  </si>
  <si>
    <t>P(T&lt;=t) two-tail</t>
  </si>
  <si>
    <t>t Critical two-tail</t>
  </si>
  <si>
    <t>ECCC</t>
  </si>
  <si>
    <t>ACCESS</t>
  </si>
  <si>
    <t>CANESM</t>
  </si>
  <si>
    <t>CNRM</t>
  </si>
  <si>
    <t>ACCESS CS 1</t>
  </si>
  <si>
    <t>CANESM CS 1</t>
  </si>
  <si>
    <t>ECCC L2</t>
  </si>
  <si>
    <t>Qbar = 1202.82 (m3/s)</t>
  </si>
  <si>
    <t>Qbar = 1275.29 (m3/s)</t>
  </si>
  <si>
    <t>Qbar = 1415.34 (m3/s)</t>
  </si>
  <si>
    <t>Qbar = 940.34 (m3/s); long-term average of Q</t>
  </si>
  <si>
    <t>ECCC 1.5</t>
  </si>
  <si>
    <t>ACCESS CS 1.5</t>
  </si>
  <si>
    <t>CANESM CS 1.5</t>
  </si>
  <si>
    <t>CNRM CS 1.5</t>
  </si>
  <si>
    <t>QS_ECCCSBI_1.5</t>
  </si>
  <si>
    <t>QS_ECCCSBI_2</t>
  </si>
  <si>
    <t>Access1.5</t>
  </si>
  <si>
    <t>Access2</t>
  </si>
  <si>
    <t>CANESM1.5</t>
  </si>
  <si>
    <t>CANESM2</t>
  </si>
  <si>
    <t>CNRM1.5</t>
  </si>
  <si>
    <t>Diff</t>
  </si>
  <si>
    <t>g</t>
  </si>
  <si>
    <t xml:space="preserve">Qb(kg/s) </t>
  </si>
  <si>
    <t xml:space="preserve">-------- </t>
  </si>
  <si>
    <t>ACCESS0.3333</t>
  </si>
  <si>
    <t>CANESM0.3333</t>
  </si>
  <si>
    <t xml:space="preserve">Qs(kg/s) </t>
  </si>
  <si>
    <t>SBCLith1</t>
  </si>
  <si>
    <t>ECCC Lithology 1.5</t>
  </si>
  <si>
    <t>ECCC CS Lith2</t>
  </si>
  <si>
    <t>ECCC Lith1.5</t>
  </si>
  <si>
    <t>For Plotting</t>
  </si>
  <si>
    <t>Measured Values</t>
  </si>
  <si>
    <t>Lithology Factor 1.5</t>
  </si>
  <si>
    <t>Lithology Factor 2</t>
  </si>
  <si>
    <t>WS Bedload</t>
  </si>
  <si>
    <t>WS Bedload (gradient 0.0005)</t>
  </si>
  <si>
    <t xml:space="preserve"> (gradient 0.0001)</t>
  </si>
  <si>
    <t>(Gradient 0.000233 m/m)</t>
  </si>
  <si>
    <t xml:space="preserve"> (gradient 0.0003333)</t>
  </si>
  <si>
    <t xml:space="preserve"> (gradient 0.0005)</t>
  </si>
  <si>
    <t xml:space="preserve">After the discharge calibration, the goal of this spreadsheet is to 1) present a validation of SBI HydroTrend results using GCM climate inputs using available sediment concentration data and long term discharge data; 2) calculate error/uncertainty around the suspended sediment and bedload estimates since limited data is available for validation. </t>
  </si>
  <si>
    <t>Purpose</t>
  </si>
  <si>
    <t>The validaiton differs from the calibration since we are now comparing HydroTrend with GCM inputs to Usk station measurements (opposed to using the ECCC stations to produce the highest p-value match to the measured data).</t>
  </si>
  <si>
    <t xml:space="preserve">Validation of 1981-2011 SBI HydroTrend results with GCM inputs against long term (30year averaged) monthly measured discharge data. </t>
  </si>
  <si>
    <t xml:space="preserve">Error Calculation: Comparison of sediment concentration validation results with a lithology factor of 1.5 vs 2 for SBI. </t>
  </si>
  <si>
    <t>Error/Uncertainty Calculation of the difference in suspended load between the climate inputs and lithology factors for SBI.</t>
  </si>
  <si>
    <t>Error/Uncertainty Calculation of the difference in suspended load between the climate inputs and lithology factors for SBC.</t>
  </si>
  <si>
    <t xml:space="preserve">Error/Uncertainty Calculation of the difference in bedload between the climate inputs and final river outlet slope (delta gradient) for the whole Skeena. Recell that the whole skeena will be used to calculate bedload rather than the combinations of two subbasins used for the suspended load. </t>
  </si>
  <si>
    <t xml:space="preserve">Value Measured in google earth around the Skeena tidal limit (values used as the best estimate). </t>
  </si>
  <si>
    <t>gradient (0.000433)</t>
  </si>
  <si>
    <t>Difference of the simulation +/-0.0001 to the best estimate</t>
  </si>
  <si>
    <t>Lithology factor 1</t>
  </si>
  <si>
    <t>gradient 0.0001</t>
  </si>
  <si>
    <t>ECCC Inputs</t>
  </si>
  <si>
    <t>The lithology factor does not impact the bedload.</t>
  </si>
  <si>
    <t>ECCC Inputs with Different Delta Gradient Inputs</t>
  </si>
  <si>
    <t>ECCC Bedload with Different lithology factors</t>
  </si>
  <si>
    <t>Different Climate inputs with a constant 0.000333 delta gradient</t>
  </si>
  <si>
    <t xml:space="preserve">Lithology Factor 1 </t>
  </si>
  <si>
    <t>Diff btw lithology factors</t>
  </si>
  <si>
    <t>Diff. btw ECCC and GCM</t>
  </si>
  <si>
    <t>No Measured Values Available</t>
  </si>
  <si>
    <t>Whole Skeena Bedload Values used in the best estimate</t>
  </si>
  <si>
    <t>Used in the best estimate</t>
  </si>
  <si>
    <t xml:space="preserve">Validation of 1981-2011 SBI HydroTrend daily sediment concentration (Cs) results (averaged within +/-50 m3/s of the measured discharge from the same month) with GCM inputs compared to daily (averaged over an hour and multiple depths) measured sediment concentrations. </t>
  </si>
  <si>
    <t>Legend</t>
  </si>
  <si>
    <t>Q</t>
  </si>
  <si>
    <t>Cs</t>
  </si>
  <si>
    <t xml:space="preserve">Sediment Concentration </t>
  </si>
  <si>
    <t xml:space="preserve">Discharge </t>
  </si>
  <si>
    <t>Qs</t>
  </si>
  <si>
    <t>Sediment Load</t>
  </si>
  <si>
    <t>Beload</t>
  </si>
  <si>
    <t>Qb</t>
  </si>
  <si>
    <t>30 year Mean Monthly Qs</t>
  </si>
  <si>
    <t>1981-2010 Monthly Qs</t>
  </si>
  <si>
    <t>1981-2010 Monthly bedload data</t>
  </si>
  <si>
    <t>Comparin Changing Lithology Factors (+0.5) for SBC</t>
  </si>
  <si>
    <t>Lith 1.5</t>
  </si>
  <si>
    <t>Comparing Climate Inputs (with a constant lithology factor of 1) for SBC</t>
  </si>
  <si>
    <t>Comparing Qs using  Lithology Factor 1.5 and 2 with different GCM Inputs for SBI</t>
  </si>
  <si>
    <t xml:space="preserve">Whole Skeena  </t>
  </si>
  <si>
    <t>Whole Skeena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</si>
</sst>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
  </numFmts>
  <fonts count="6" x14ac:knownFonts="1">
    <font>
      <sz val="12"/>
      <color theme="1"/>
      <name val="Calibri"/>
      <family val="2"/>
      <scheme val="minor"/>
    </font>
    <font>
      <i/>
      <sz val="12"/>
      <color theme="1"/>
      <name val="Calibri"/>
      <family val="2"/>
      <scheme val="minor"/>
    </font>
    <font>
      <sz val="12"/>
      <color rgb="FF000000"/>
      <name val="Calibri"/>
      <family val="2"/>
      <scheme val="minor"/>
    </font>
    <font>
      <sz val="8"/>
      <name val="Calibri"/>
      <family val="2"/>
      <scheme val="minor"/>
    </font>
    <font>
      <b/>
      <sz val="12"/>
      <color theme="1"/>
      <name val="Calibri"/>
      <family val="2"/>
      <scheme val="minor"/>
    </font>
    <font>
      <b/>
      <i/>
      <sz val="12"/>
      <color theme="1"/>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rgb="FFFFFF00"/>
        <bgColor indexed="64"/>
      </patternFill>
    </fill>
  </fills>
  <borders count="16">
    <border>
      <left/>
      <right/>
      <top/>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45">
    <xf numFmtId="0" fontId="0" fillId="0" borderId="0" xfId="0"/>
    <xf numFmtId="3" fontId="0" fillId="0" borderId="0" xfId="0" applyNumberFormat="1"/>
    <xf numFmtId="0" fontId="0" fillId="0" borderId="1" xfId="0" applyBorder="1"/>
    <xf numFmtId="0" fontId="1" fillId="0" borderId="2" xfId="0" applyFont="1" applyBorder="1" applyAlignment="1">
      <alignment horizontal="center"/>
    </xf>
    <xf numFmtId="164" fontId="0" fillId="0" borderId="0" xfId="0" applyNumberFormat="1"/>
    <xf numFmtId="165" fontId="1" fillId="0" borderId="2" xfId="0" applyNumberFormat="1" applyFont="1" applyBorder="1" applyAlignment="1">
      <alignment horizontal="center"/>
    </xf>
    <xf numFmtId="165" fontId="0" fillId="0" borderId="0" xfId="0" applyNumberFormat="1"/>
    <xf numFmtId="165" fontId="0" fillId="0" borderId="1" xfId="0" applyNumberFormat="1" applyBorder="1"/>
    <xf numFmtId="0" fontId="0" fillId="2" borderId="0" xfId="0" applyFill="1"/>
    <xf numFmtId="164" fontId="0" fillId="2" borderId="0" xfId="0" applyNumberFormat="1" applyFill="1"/>
    <xf numFmtId="0" fontId="0" fillId="3" borderId="0" xfId="0" applyFill="1"/>
    <xf numFmtId="164" fontId="0" fillId="3" borderId="0" xfId="0" applyNumberFormat="1" applyFill="1"/>
    <xf numFmtId="0" fontId="0" fillId="4" borderId="0" xfId="0" applyFill="1"/>
    <xf numFmtId="164" fontId="0" fillId="4" borderId="0" xfId="0" applyNumberFormat="1" applyFill="1"/>
    <xf numFmtId="0" fontId="2" fillId="0" borderId="0" xfId="0" applyFont="1"/>
    <xf numFmtId="0" fontId="0" fillId="5" borderId="0" xfId="0" applyFill="1"/>
    <xf numFmtId="0" fontId="1" fillId="0" borderId="0" xfId="0" applyFont="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3" borderId="7" xfId="0" applyFill="1" applyBorder="1"/>
    <xf numFmtId="0" fontId="0" fillId="3" borderId="9" xfId="0" applyFill="1" applyBorder="1"/>
    <xf numFmtId="0" fontId="0" fillId="0" borderId="10" xfId="0" applyBorder="1"/>
    <xf numFmtId="0" fontId="0" fillId="3" borderId="10" xfId="0" applyFill="1" applyBorder="1"/>
    <xf numFmtId="0" fontId="0" fillId="0" borderId="11" xfId="0" applyBorder="1"/>
    <xf numFmtId="0" fontId="1" fillId="0" borderId="7" xfId="0" applyFont="1" applyBorder="1"/>
    <xf numFmtId="0" fontId="1" fillId="0" borderId="8" xfId="0" applyFont="1" applyBorder="1"/>
    <xf numFmtId="0" fontId="1" fillId="0" borderId="9" xfId="0" applyFont="1" applyBorder="1"/>
    <xf numFmtId="0" fontId="1" fillId="0" borderId="11" xfId="0" applyFont="1" applyBorder="1"/>
    <xf numFmtId="0" fontId="0" fillId="0" borderId="3" xfId="0" applyBorder="1"/>
    <xf numFmtId="0" fontId="1" fillId="0" borderId="12" xfId="0" applyFont="1" applyBorder="1"/>
    <xf numFmtId="0" fontId="1" fillId="0" borderId="5" xfId="0" applyFont="1" applyBorder="1"/>
    <xf numFmtId="0" fontId="0" fillId="3" borderId="5" xfId="0" applyFill="1" applyBorder="1"/>
    <xf numFmtId="0" fontId="0" fillId="0" borderId="9" xfId="0" applyBorder="1"/>
    <xf numFmtId="0" fontId="1" fillId="0" borderId="10" xfId="0" applyFont="1" applyBorder="1"/>
    <xf numFmtId="0" fontId="0" fillId="2" borderId="10" xfId="0" applyFill="1" applyBorder="1"/>
    <xf numFmtId="0" fontId="0" fillId="0" borderId="13" xfId="0" applyBorder="1"/>
    <xf numFmtId="0" fontId="0" fillId="3" borderId="14" xfId="0" applyFill="1" applyBorder="1"/>
    <xf numFmtId="0" fontId="0" fillId="3" borderId="15" xfId="0" applyFill="1" applyBorder="1"/>
    <xf numFmtId="0" fontId="4" fillId="6" borderId="4" xfId="0" applyFont="1" applyFill="1" applyBorder="1"/>
    <xf numFmtId="0" fontId="5" fillId="6" borderId="0" xfId="0" applyFont="1" applyFill="1"/>
    <xf numFmtId="0" fontId="4" fillId="6" borderId="5" xfId="0" applyFont="1" applyFill="1" applyBorder="1"/>
    <xf numFmtId="0" fontId="4" fillId="6" borderId="0" xfId="0" applyFont="1" applyFill="1"/>
  </cellXfs>
  <cellStyles count="1">
    <cellStyle name="Normal" xfId="0" builtinId="0"/>
  </cellStyles>
  <dxfs count="0"/>
  <tableStyles count="0" defaultTableStyle="TableStyleMedium2" defaultPivotStyle="PivotStyleLight16"/>
  <colors>
    <mruColors>
      <color rgb="FF376ABF"/>
      <color rgb="FF45C9EF"/>
      <color rgb="FF88BEE8"/>
      <color rgb="FF5BC7E7"/>
      <color rgb="FFFE4933"/>
      <color rgb="FFFF0208"/>
      <color rgb="FFFF5625"/>
      <color rgb="FFE8B41F"/>
      <color rgb="FFD7A31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33086529378197"/>
          <c:y val="3.3155813329486562E-2"/>
          <c:w val="0.77059733912571271"/>
          <c:h val="0.75230853594715297"/>
        </c:manualLayout>
      </c:layout>
      <c:scatterChart>
        <c:scatterStyle val="smoothMarker"/>
        <c:varyColors val="0"/>
        <c:ser>
          <c:idx val="0"/>
          <c:order val="0"/>
          <c:tx>
            <c:v>USK</c:v>
          </c:tx>
          <c:spPr>
            <a:ln w="19050" cap="rnd">
              <a:solidFill>
                <a:schemeClr val="tx1"/>
              </a:solidFill>
              <a:round/>
            </a:ln>
            <a:effectLst/>
          </c:spPr>
          <c:marker>
            <c:symbol val="circle"/>
            <c:size val="9"/>
            <c:spPr>
              <a:solidFill>
                <a:schemeClr val="tx1"/>
              </a:solidFill>
              <a:ln w="9525">
                <a:solidFill>
                  <a:schemeClr val="tx1"/>
                </a:solidFill>
              </a:ln>
              <a:effectLst/>
            </c:spPr>
          </c:marker>
          <c:xVal>
            <c:numRef>
              <c:f>ValidationQ_SBIwGCMs!$C$3:$C$14</c:f>
              <c:numCache>
                <c:formatCode>#,##0</c:formatCode>
                <c:ptCount val="12"/>
                <c:pt idx="0">
                  <c:v>195.5</c:v>
                </c:pt>
                <c:pt idx="1">
                  <c:v>170.96333333333331</c:v>
                </c:pt>
                <c:pt idx="2" formatCode="General">
                  <c:v>191.8</c:v>
                </c:pt>
                <c:pt idx="3" formatCode="General">
                  <c:v>523.20000000000005</c:v>
                </c:pt>
                <c:pt idx="4" formatCode="General">
                  <c:v>2022.3333333333333</c:v>
                </c:pt>
                <c:pt idx="5" formatCode="General">
                  <c:v>2857.6666666666665</c:v>
                </c:pt>
                <c:pt idx="6" formatCode="General">
                  <c:v>1677.9333333333334</c:v>
                </c:pt>
                <c:pt idx="7" formatCode="General">
                  <c:v>873.9666666666667</c:v>
                </c:pt>
                <c:pt idx="8" formatCode="General">
                  <c:v>772.83333333333337</c:v>
                </c:pt>
                <c:pt idx="9" formatCode="General">
                  <c:v>795.73333333333335</c:v>
                </c:pt>
                <c:pt idx="10" formatCode="General">
                  <c:v>483</c:v>
                </c:pt>
                <c:pt idx="11" formatCode="General">
                  <c:v>250</c:v>
                </c:pt>
              </c:numCache>
            </c:numRef>
          </c:xVal>
          <c:yVal>
            <c:numRef>
              <c:f>ValidationQ_SBIwGCMs!$D$3:$D$14</c:f>
              <c:numCache>
                <c:formatCode>#,##0</c:formatCode>
                <c:ptCount val="12"/>
                <c:pt idx="0">
                  <c:v>195.5</c:v>
                </c:pt>
                <c:pt idx="1">
                  <c:v>170.96333333333331</c:v>
                </c:pt>
                <c:pt idx="2" formatCode="General">
                  <c:v>191.8</c:v>
                </c:pt>
                <c:pt idx="3" formatCode="General">
                  <c:v>523.20000000000005</c:v>
                </c:pt>
                <c:pt idx="4" formatCode="General">
                  <c:v>2022.3333333333333</c:v>
                </c:pt>
                <c:pt idx="5" formatCode="General">
                  <c:v>2857.6666666666665</c:v>
                </c:pt>
                <c:pt idx="6" formatCode="General">
                  <c:v>1677.9333333333334</c:v>
                </c:pt>
                <c:pt idx="7" formatCode="General">
                  <c:v>873.9666666666667</c:v>
                </c:pt>
                <c:pt idx="8" formatCode="General">
                  <c:v>772.83333333333337</c:v>
                </c:pt>
                <c:pt idx="9" formatCode="General">
                  <c:v>795.73333333333335</c:v>
                </c:pt>
                <c:pt idx="10" formatCode="General">
                  <c:v>483</c:v>
                </c:pt>
                <c:pt idx="11" formatCode="General">
                  <c:v>250</c:v>
                </c:pt>
              </c:numCache>
            </c:numRef>
          </c:yVal>
          <c:smooth val="1"/>
          <c:extLst>
            <c:ext xmlns:c16="http://schemas.microsoft.com/office/drawing/2014/chart" uri="{C3380CC4-5D6E-409C-BE32-E72D297353CC}">
              <c16:uniqueId val="{00000000-C597-3845-BD72-7278C4F07F55}"/>
            </c:ext>
          </c:extLst>
        </c:ser>
        <c:dLbls>
          <c:showLegendKey val="0"/>
          <c:showVal val="0"/>
          <c:showCatName val="0"/>
          <c:showSerName val="0"/>
          <c:showPercent val="0"/>
          <c:showBubbleSize val="0"/>
        </c:dLbls>
        <c:axId val="546400984"/>
        <c:axId val="546401312"/>
        <c:extLst/>
      </c:scatterChart>
      <c:scatterChart>
        <c:scatterStyle val="lineMarker"/>
        <c:varyColors val="0"/>
        <c:ser>
          <c:idx val="1"/>
          <c:order val="1"/>
          <c:tx>
            <c:v>ECCC</c:v>
          </c:tx>
          <c:spPr>
            <a:ln w="25400" cap="rnd">
              <a:noFill/>
              <a:round/>
            </a:ln>
            <a:effectLst/>
          </c:spPr>
          <c:marker>
            <c:symbol val="circle"/>
            <c:size val="8"/>
            <c:spPr>
              <a:solidFill>
                <a:schemeClr val="accent1"/>
              </a:solidFill>
              <a:ln w="12700">
                <a:solidFill>
                  <a:schemeClr val="accent1">
                    <a:lumMod val="50000"/>
                  </a:schemeClr>
                </a:solidFill>
              </a:ln>
              <a:effectLst/>
            </c:spPr>
          </c:marker>
          <c:xVal>
            <c:numRef>
              <c:f>ValidationQ_SBIwGCMs!$D$3:$D$14</c:f>
              <c:numCache>
                <c:formatCode>#,##0</c:formatCode>
                <c:ptCount val="12"/>
                <c:pt idx="0">
                  <c:v>195.5</c:v>
                </c:pt>
                <c:pt idx="1">
                  <c:v>170.96333333333331</c:v>
                </c:pt>
                <c:pt idx="2" formatCode="General">
                  <c:v>191.8</c:v>
                </c:pt>
                <c:pt idx="3" formatCode="General">
                  <c:v>523.20000000000005</c:v>
                </c:pt>
                <c:pt idx="4" formatCode="General">
                  <c:v>2022.3333333333333</c:v>
                </c:pt>
                <c:pt idx="5" formatCode="General">
                  <c:v>2857.6666666666665</c:v>
                </c:pt>
                <c:pt idx="6" formatCode="General">
                  <c:v>1677.9333333333334</c:v>
                </c:pt>
                <c:pt idx="7" formatCode="General">
                  <c:v>873.9666666666667</c:v>
                </c:pt>
                <c:pt idx="8" formatCode="General">
                  <c:v>772.83333333333337</c:v>
                </c:pt>
                <c:pt idx="9" formatCode="General">
                  <c:v>795.73333333333335</c:v>
                </c:pt>
                <c:pt idx="10" formatCode="General">
                  <c:v>483</c:v>
                </c:pt>
                <c:pt idx="11" formatCode="General">
                  <c:v>250</c:v>
                </c:pt>
              </c:numCache>
            </c:numRef>
          </c:xVal>
          <c:yVal>
            <c:numRef>
              <c:f>ValidationQ_SBIwGCMs!$G$3:$G$14</c:f>
              <c:numCache>
                <c:formatCode>General</c:formatCode>
                <c:ptCount val="12"/>
                <c:pt idx="0">
                  <c:v>166.88606666666701</c:v>
                </c:pt>
                <c:pt idx="1">
                  <c:v>164.41443333333299</c:v>
                </c:pt>
                <c:pt idx="2">
                  <c:v>199.41370000000001</c:v>
                </c:pt>
                <c:pt idx="3">
                  <c:v>1179.17243333333</c:v>
                </c:pt>
                <c:pt idx="4">
                  <c:v>2826.18</c:v>
                </c:pt>
                <c:pt idx="5">
                  <c:v>2180.7391333333298</c:v>
                </c:pt>
                <c:pt idx="6">
                  <c:v>1177.4478666666701</c:v>
                </c:pt>
                <c:pt idx="7">
                  <c:v>908.84286666666696</c:v>
                </c:pt>
                <c:pt idx="8">
                  <c:v>1023.14536666667</c:v>
                </c:pt>
                <c:pt idx="9">
                  <c:v>721.41856666666695</c:v>
                </c:pt>
                <c:pt idx="10">
                  <c:v>188.08973333333299</c:v>
                </c:pt>
                <c:pt idx="11">
                  <c:v>164.66946666666701</c:v>
                </c:pt>
              </c:numCache>
            </c:numRef>
          </c:yVal>
          <c:smooth val="0"/>
          <c:extLst>
            <c:ext xmlns:c16="http://schemas.microsoft.com/office/drawing/2014/chart" uri="{C3380CC4-5D6E-409C-BE32-E72D297353CC}">
              <c16:uniqueId val="{00000001-C597-3845-BD72-7278C4F07F55}"/>
            </c:ext>
          </c:extLst>
        </c:ser>
        <c:ser>
          <c:idx val="3"/>
          <c:order val="2"/>
          <c:tx>
            <c:v>ACCESS </c:v>
          </c:tx>
          <c:spPr>
            <a:ln w="25400" cap="rnd">
              <a:noFill/>
              <a:round/>
            </a:ln>
            <a:effectLst/>
          </c:spPr>
          <c:marker>
            <c:symbol val="circle"/>
            <c:size val="7"/>
            <c:spPr>
              <a:solidFill>
                <a:schemeClr val="accent4"/>
              </a:solidFill>
              <a:ln w="9525">
                <a:solidFill>
                  <a:schemeClr val="accent4">
                    <a:lumMod val="75000"/>
                  </a:schemeClr>
                </a:solidFill>
              </a:ln>
              <a:effectLst/>
            </c:spPr>
          </c:marker>
          <c:xVal>
            <c:numRef>
              <c:f>ValidationQ_SBIwGCMs!$D$3:$D$14</c:f>
              <c:numCache>
                <c:formatCode>#,##0</c:formatCode>
                <c:ptCount val="12"/>
                <c:pt idx="0">
                  <c:v>195.5</c:v>
                </c:pt>
                <c:pt idx="1">
                  <c:v>170.96333333333331</c:v>
                </c:pt>
                <c:pt idx="2" formatCode="General">
                  <c:v>191.8</c:v>
                </c:pt>
                <c:pt idx="3" formatCode="General">
                  <c:v>523.20000000000005</c:v>
                </c:pt>
                <c:pt idx="4" formatCode="General">
                  <c:v>2022.3333333333333</c:v>
                </c:pt>
                <c:pt idx="5" formatCode="General">
                  <c:v>2857.6666666666665</c:v>
                </c:pt>
                <c:pt idx="6" formatCode="General">
                  <c:v>1677.9333333333334</c:v>
                </c:pt>
                <c:pt idx="7" formatCode="General">
                  <c:v>873.9666666666667</c:v>
                </c:pt>
                <c:pt idx="8" formatCode="General">
                  <c:v>772.83333333333337</c:v>
                </c:pt>
                <c:pt idx="9" formatCode="General">
                  <c:v>795.73333333333335</c:v>
                </c:pt>
                <c:pt idx="10" formatCode="General">
                  <c:v>483</c:v>
                </c:pt>
                <c:pt idx="11" formatCode="General">
                  <c:v>250</c:v>
                </c:pt>
              </c:numCache>
            </c:numRef>
          </c:xVal>
          <c:yVal>
            <c:numRef>
              <c:f>ValidationQ_SBIwGCMs!$J$3:$J$14</c:f>
              <c:numCache>
                <c:formatCode>General</c:formatCode>
                <c:ptCount val="12"/>
                <c:pt idx="0">
                  <c:v>166.91443333333299</c:v>
                </c:pt>
                <c:pt idx="1">
                  <c:v>163.92906666666701</c:v>
                </c:pt>
                <c:pt idx="2">
                  <c:v>164.963666666667</c:v>
                </c:pt>
                <c:pt idx="3">
                  <c:v>252.31993333333301</c:v>
                </c:pt>
                <c:pt idx="4">
                  <c:v>3107.6129999999998</c:v>
                </c:pt>
                <c:pt idx="5">
                  <c:v>3592.6907000000001</c:v>
                </c:pt>
                <c:pt idx="6">
                  <c:v>2343.8710999999998</c:v>
                </c:pt>
                <c:pt idx="7">
                  <c:v>1988.6065000000001</c:v>
                </c:pt>
                <c:pt idx="8">
                  <c:v>1247.25043333333</c:v>
                </c:pt>
                <c:pt idx="9">
                  <c:v>540.26250000000005</c:v>
                </c:pt>
                <c:pt idx="10">
                  <c:v>171.02783333333301</c:v>
                </c:pt>
                <c:pt idx="11">
                  <c:v>164.521533333333</c:v>
                </c:pt>
              </c:numCache>
            </c:numRef>
          </c:yVal>
          <c:smooth val="0"/>
          <c:extLst>
            <c:ext xmlns:c16="http://schemas.microsoft.com/office/drawing/2014/chart" uri="{C3380CC4-5D6E-409C-BE32-E72D297353CC}">
              <c16:uniqueId val="{00000002-C597-3845-BD72-7278C4F07F55}"/>
            </c:ext>
          </c:extLst>
        </c:ser>
        <c:ser>
          <c:idx val="2"/>
          <c:order val="3"/>
          <c:tx>
            <c:v>CANESM </c:v>
          </c:tx>
          <c:spPr>
            <a:ln w="25400" cap="rnd">
              <a:noFill/>
              <a:round/>
            </a:ln>
            <a:effectLst/>
          </c:spPr>
          <c:marker>
            <c:symbol val="circle"/>
            <c:size val="6"/>
            <c:spPr>
              <a:solidFill>
                <a:srgbClr val="C00000"/>
              </a:solidFill>
              <a:ln w="9525">
                <a:solidFill>
                  <a:srgbClr val="C00000"/>
                </a:solidFill>
              </a:ln>
              <a:effectLst/>
            </c:spPr>
          </c:marker>
          <c:xVal>
            <c:numRef>
              <c:f>ValidationQ_SBIwGCMs!$D$3:$D$14</c:f>
              <c:numCache>
                <c:formatCode>#,##0</c:formatCode>
                <c:ptCount val="12"/>
                <c:pt idx="0">
                  <c:v>195.5</c:v>
                </c:pt>
                <c:pt idx="1">
                  <c:v>170.96333333333331</c:v>
                </c:pt>
                <c:pt idx="2" formatCode="General">
                  <c:v>191.8</c:v>
                </c:pt>
                <c:pt idx="3" formatCode="General">
                  <c:v>523.20000000000005</c:v>
                </c:pt>
                <c:pt idx="4" formatCode="General">
                  <c:v>2022.3333333333333</c:v>
                </c:pt>
                <c:pt idx="5" formatCode="General">
                  <c:v>2857.6666666666665</c:v>
                </c:pt>
                <c:pt idx="6" formatCode="General">
                  <c:v>1677.9333333333334</c:v>
                </c:pt>
                <c:pt idx="7" formatCode="General">
                  <c:v>873.9666666666667</c:v>
                </c:pt>
                <c:pt idx="8" formatCode="General">
                  <c:v>772.83333333333337</c:v>
                </c:pt>
                <c:pt idx="9" formatCode="General">
                  <c:v>795.73333333333335</c:v>
                </c:pt>
                <c:pt idx="10" formatCode="General">
                  <c:v>483</c:v>
                </c:pt>
                <c:pt idx="11" formatCode="General">
                  <c:v>250</c:v>
                </c:pt>
              </c:numCache>
            </c:numRef>
          </c:xVal>
          <c:yVal>
            <c:numRef>
              <c:f>ValidationQ_SBIwGCMs!$L$3:$L$14</c:f>
              <c:numCache>
                <c:formatCode>General</c:formatCode>
                <c:ptCount val="12"/>
                <c:pt idx="0">
                  <c:v>167.028766666667</c:v>
                </c:pt>
                <c:pt idx="1">
                  <c:v>164.46866666666699</c:v>
                </c:pt>
                <c:pt idx="2">
                  <c:v>169.48849999999999</c:v>
                </c:pt>
                <c:pt idx="3">
                  <c:v>399.84030000000001</c:v>
                </c:pt>
                <c:pt idx="4">
                  <c:v>2822.0464666666699</c:v>
                </c:pt>
                <c:pt idx="5">
                  <c:v>4619.6767666666701</c:v>
                </c:pt>
                <c:pt idx="6">
                  <c:v>2651.54743333333</c:v>
                </c:pt>
                <c:pt idx="7">
                  <c:v>1608.7379000000001</c:v>
                </c:pt>
                <c:pt idx="8">
                  <c:v>1232.1845333333299</c:v>
                </c:pt>
                <c:pt idx="9">
                  <c:v>602.60923333333301</c:v>
                </c:pt>
                <c:pt idx="10">
                  <c:v>170.41829999999999</c:v>
                </c:pt>
                <c:pt idx="11">
                  <c:v>164.51843333333301</c:v>
                </c:pt>
              </c:numCache>
            </c:numRef>
          </c:yVal>
          <c:smooth val="0"/>
          <c:extLst>
            <c:ext xmlns:c16="http://schemas.microsoft.com/office/drawing/2014/chart" uri="{C3380CC4-5D6E-409C-BE32-E72D297353CC}">
              <c16:uniqueId val="{00000003-C597-3845-BD72-7278C4F07F55}"/>
            </c:ext>
          </c:extLst>
        </c:ser>
        <c:ser>
          <c:idx val="4"/>
          <c:order val="4"/>
          <c:tx>
            <c:v>CNRM </c:v>
          </c:tx>
          <c:spPr>
            <a:ln w="25400" cap="rnd">
              <a:noFill/>
              <a:round/>
            </a:ln>
            <a:effectLst/>
          </c:spPr>
          <c:marker>
            <c:symbol val="circle"/>
            <c:size val="5"/>
            <c:spPr>
              <a:solidFill>
                <a:schemeClr val="accent6"/>
              </a:solidFill>
              <a:ln w="9525">
                <a:solidFill>
                  <a:schemeClr val="accent6">
                    <a:lumMod val="75000"/>
                  </a:schemeClr>
                </a:solidFill>
              </a:ln>
              <a:effectLst/>
            </c:spPr>
          </c:marker>
          <c:xVal>
            <c:numRef>
              <c:f>ValidationQ_SBIwGCMs!$D$3:$D$14</c:f>
              <c:numCache>
                <c:formatCode>#,##0</c:formatCode>
                <c:ptCount val="12"/>
                <c:pt idx="0">
                  <c:v>195.5</c:v>
                </c:pt>
                <c:pt idx="1">
                  <c:v>170.96333333333331</c:v>
                </c:pt>
                <c:pt idx="2" formatCode="General">
                  <c:v>191.8</c:v>
                </c:pt>
                <c:pt idx="3" formatCode="General">
                  <c:v>523.20000000000005</c:v>
                </c:pt>
                <c:pt idx="4" formatCode="General">
                  <c:v>2022.3333333333333</c:v>
                </c:pt>
                <c:pt idx="5" formatCode="General">
                  <c:v>2857.6666666666665</c:v>
                </c:pt>
                <c:pt idx="6" formatCode="General">
                  <c:v>1677.9333333333334</c:v>
                </c:pt>
                <c:pt idx="7" formatCode="General">
                  <c:v>873.9666666666667</c:v>
                </c:pt>
                <c:pt idx="8" formatCode="General">
                  <c:v>772.83333333333337</c:v>
                </c:pt>
                <c:pt idx="9" formatCode="General">
                  <c:v>795.73333333333335</c:v>
                </c:pt>
                <c:pt idx="10" formatCode="General">
                  <c:v>483</c:v>
                </c:pt>
                <c:pt idx="11" formatCode="General">
                  <c:v>250</c:v>
                </c:pt>
              </c:numCache>
            </c:numRef>
          </c:xVal>
          <c:yVal>
            <c:numRef>
              <c:f>ValidationQ_SBIwGCMs!$N$3:$N$14</c:f>
              <c:numCache>
                <c:formatCode>General</c:formatCode>
                <c:ptCount val="12"/>
                <c:pt idx="0">
                  <c:v>166.986966666667</c:v>
                </c:pt>
                <c:pt idx="1">
                  <c:v>164.04323333333301</c:v>
                </c:pt>
                <c:pt idx="2">
                  <c:v>165.865833333333</c:v>
                </c:pt>
                <c:pt idx="3">
                  <c:v>423.10853333333301</c:v>
                </c:pt>
                <c:pt idx="4">
                  <c:v>2373.8696</c:v>
                </c:pt>
                <c:pt idx="5">
                  <c:v>4887.6472666666696</c:v>
                </c:pt>
                <c:pt idx="6">
                  <c:v>3225.3245999999999</c:v>
                </c:pt>
                <c:pt idx="7">
                  <c:v>2314.8960333333298</c:v>
                </c:pt>
                <c:pt idx="8">
                  <c:v>1610.4048</c:v>
                </c:pt>
                <c:pt idx="9">
                  <c:v>705.117166666667</c:v>
                </c:pt>
                <c:pt idx="10">
                  <c:v>167.24996666666701</c:v>
                </c:pt>
                <c:pt idx="11">
                  <c:v>164.516066666667</c:v>
                </c:pt>
              </c:numCache>
            </c:numRef>
          </c:yVal>
          <c:smooth val="0"/>
          <c:extLst>
            <c:ext xmlns:c16="http://schemas.microsoft.com/office/drawing/2014/chart" uri="{C3380CC4-5D6E-409C-BE32-E72D297353CC}">
              <c16:uniqueId val="{00000004-C597-3845-BD72-7278C4F07F55}"/>
            </c:ext>
          </c:extLst>
        </c:ser>
        <c:dLbls>
          <c:showLegendKey val="0"/>
          <c:showVal val="0"/>
          <c:showCatName val="0"/>
          <c:showSerName val="0"/>
          <c:showPercent val="0"/>
          <c:showBubbleSize val="0"/>
        </c:dLbls>
        <c:axId val="546400984"/>
        <c:axId val="546401312"/>
      </c:scatterChart>
      <c:valAx>
        <c:axId val="546400984"/>
        <c:scaling>
          <c:orientation val="minMax"/>
          <c:max val="3000"/>
          <c:min val="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546401312"/>
        <c:crosses val="autoZero"/>
        <c:crossBetween val="midCat"/>
        <c:majorUnit val="500"/>
      </c:valAx>
      <c:valAx>
        <c:axId val="546401312"/>
        <c:scaling>
          <c:orientation val="minMax"/>
          <c:max val="6000"/>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546400984"/>
        <c:crosses val="autoZero"/>
        <c:crossBetween val="midCat"/>
        <c:majorUnit val="500"/>
      </c:valAx>
      <c:spPr>
        <a:noFill/>
        <a:ln>
          <a:noFill/>
        </a:ln>
        <a:effectLst/>
      </c:spPr>
    </c:plotArea>
    <c:legend>
      <c:legendPos val="b"/>
      <c:layout>
        <c:manualLayout>
          <c:xMode val="edge"/>
          <c:yMode val="edge"/>
          <c:x val="7.9918213263229284E-3"/>
          <c:y val="0.90315080797019887"/>
          <c:w val="0.97785068219959148"/>
          <c:h val="9.5051499712206153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02534796038548"/>
          <c:y val="4.8126386461966146E-2"/>
          <c:w val="0.78592297662983102"/>
          <c:h val="0.75230853594715297"/>
        </c:manualLayout>
      </c:layout>
      <c:scatterChart>
        <c:scatterStyle val="lineMarker"/>
        <c:varyColors val="0"/>
        <c:ser>
          <c:idx val="0"/>
          <c:order val="0"/>
          <c:tx>
            <c:v>Usk</c:v>
          </c:tx>
          <c:spPr>
            <a:ln w="19050" cap="rnd">
              <a:solidFill>
                <a:schemeClr val="tx1"/>
              </a:solidFill>
              <a:round/>
            </a:ln>
            <a:effectLst/>
          </c:spPr>
          <c:marker>
            <c:symbol val="circle"/>
            <c:size val="7"/>
            <c:spPr>
              <a:solidFill>
                <a:schemeClr val="tx1"/>
              </a:solidFill>
              <a:ln w="12700">
                <a:solidFill>
                  <a:schemeClr val="tx1"/>
                </a:solidFill>
              </a:ln>
              <a:effectLst/>
            </c:spPr>
          </c:marker>
          <c:xVal>
            <c:numRef>
              <c:f>ValidationCs_SBILithFact2!$C$3:$C$15</c:f>
              <c:numCache>
                <c:formatCode>General</c:formatCode>
                <c:ptCount val="13"/>
                <c:pt idx="0">
                  <c:v>6.4000000000000003E-3</c:v>
                </c:pt>
                <c:pt idx="1">
                  <c:v>1.4999999999999999E-2</c:v>
                </c:pt>
                <c:pt idx="2">
                  <c:v>2.0199999999999999E-2</c:v>
                </c:pt>
                <c:pt idx="3">
                  <c:v>2.6199999999999998E-2</c:v>
                </c:pt>
                <c:pt idx="4">
                  <c:v>4.02E-2</c:v>
                </c:pt>
                <c:pt idx="5">
                  <c:v>4.36E-2</c:v>
                </c:pt>
                <c:pt idx="6">
                  <c:v>4.9599999999999998E-2</c:v>
                </c:pt>
                <c:pt idx="7">
                  <c:v>0.1022</c:v>
                </c:pt>
                <c:pt idx="8">
                  <c:v>0.12559999999999999</c:v>
                </c:pt>
                <c:pt idx="9">
                  <c:v>0.16059999999999999</c:v>
                </c:pt>
                <c:pt idx="10">
                  <c:v>0.17560000000000001</c:v>
                </c:pt>
                <c:pt idx="11">
                  <c:v>0.22340000000000002</c:v>
                </c:pt>
                <c:pt idx="12">
                  <c:v>0.30660000000000004</c:v>
                </c:pt>
              </c:numCache>
            </c:numRef>
          </c:xVal>
          <c:yVal>
            <c:numRef>
              <c:f>ValidationCs_SBILithFact2!$D$3:$D$15</c:f>
              <c:numCache>
                <c:formatCode>General</c:formatCode>
                <c:ptCount val="13"/>
                <c:pt idx="0">
                  <c:v>6.4000000000000003E-3</c:v>
                </c:pt>
                <c:pt idx="1">
                  <c:v>1.4999999999999999E-2</c:v>
                </c:pt>
                <c:pt idx="2">
                  <c:v>2.0199999999999999E-2</c:v>
                </c:pt>
                <c:pt idx="3">
                  <c:v>2.6199999999999998E-2</c:v>
                </c:pt>
                <c:pt idx="4">
                  <c:v>4.02E-2</c:v>
                </c:pt>
                <c:pt idx="5">
                  <c:v>4.36E-2</c:v>
                </c:pt>
                <c:pt idx="6">
                  <c:v>4.9599999999999998E-2</c:v>
                </c:pt>
                <c:pt idx="7">
                  <c:v>0.1022</c:v>
                </c:pt>
                <c:pt idx="8">
                  <c:v>0.12559999999999999</c:v>
                </c:pt>
                <c:pt idx="9">
                  <c:v>0.16059999999999999</c:v>
                </c:pt>
                <c:pt idx="10">
                  <c:v>0.17560000000000001</c:v>
                </c:pt>
                <c:pt idx="11">
                  <c:v>0.22340000000000002</c:v>
                </c:pt>
                <c:pt idx="12">
                  <c:v>0.30660000000000004</c:v>
                </c:pt>
              </c:numCache>
            </c:numRef>
          </c:yVal>
          <c:smooth val="0"/>
          <c:extLst>
            <c:ext xmlns:c16="http://schemas.microsoft.com/office/drawing/2014/chart" uri="{C3380CC4-5D6E-409C-BE32-E72D297353CC}">
              <c16:uniqueId val="{00000000-705F-9A4D-A2E8-A5DEB0195AF2}"/>
            </c:ext>
          </c:extLst>
        </c:ser>
        <c:ser>
          <c:idx val="1"/>
          <c:order val="1"/>
          <c:tx>
            <c:v>ECCC </c:v>
          </c:tx>
          <c:spPr>
            <a:ln w="19050" cap="rnd">
              <a:noFill/>
              <a:round/>
            </a:ln>
            <a:effectLst/>
          </c:spPr>
          <c:marker>
            <c:symbol val="circle"/>
            <c:size val="7"/>
            <c:spPr>
              <a:solidFill>
                <a:schemeClr val="accent1"/>
              </a:solidFill>
              <a:ln w="12700">
                <a:solidFill>
                  <a:schemeClr val="accent1">
                    <a:lumMod val="50000"/>
                  </a:schemeClr>
                </a:solidFill>
              </a:ln>
              <a:effectLst/>
            </c:spPr>
          </c:marker>
          <c:errBars>
            <c:errDir val="y"/>
            <c:errBarType val="both"/>
            <c:errValType val="cust"/>
            <c:noEndCap val="0"/>
            <c:plus>
              <c:numRef>
                <c:f>ValidationCs_SBILithFact2!$J$3:$J$15</c:f>
                <c:numCache>
                  <c:formatCode>General</c:formatCode>
                  <c:ptCount val="13"/>
                  <c:pt idx="0">
                    <c:v>1.5240201319659001E-2</c:v>
                  </c:pt>
                  <c:pt idx="1">
                    <c:v>2.9875330703029598E-2</c:v>
                  </c:pt>
                  <c:pt idx="2">
                    <c:v>1.01615496838201E-2</c:v>
                  </c:pt>
                  <c:pt idx="3">
                    <c:v>3.5661596920910497E-2</c:v>
                  </c:pt>
                  <c:pt idx="4">
                    <c:v>6.6179523403028198E-2</c:v>
                  </c:pt>
                  <c:pt idx="5">
                    <c:v>2.8261770709136699E-2</c:v>
                  </c:pt>
                  <c:pt idx="6">
                    <c:v>9.8915002794205995E-2</c:v>
                  </c:pt>
                  <c:pt idx="7">
                    <c:v>0.15257947677202899</c:v>
                  </c:pt>
                  <c:pt idx="8">
                    <c:v>0.115030201983744</c:v>
                  </c:pt>
                  <c:pt idx="9">
                    <c:v>8.0717755547376702E-2</c:v>
                  </c:pt>
                  <c:pt idx="10">
                    <c:v>0.30845669604230203</c:v>
                  </c:pt>
                  <c:pt idx="11">
                    <c:v>8.0717755547376702E-2</c:v>
                  </c:pt>
                  <c:pt idx="12">
                    <c:v>0.27102701161626103</c:v>
                  </c:pt>
                </c:numCache>
              </c:numRef>
            </c:plus>
            <c:minus>
              <c:numRef>
                <c:f>ValidationCs_SBILithFact2!$J$3:$J$15</c:f>
                <c:numCache>
                  <c:formatCode>General</c:formatCode>
                  <c:ptCount val="13"/>
                  <c:pt idx="0">
                    <c:v>1.5240201319659001E-2</c:v>
                  </c:pt>
                  <c:pt idx="1">
                    <c:v>2.9875330703029598E-2</c:v>
                  </c:pt>
                  <c:pt idx="2">
                    <c:v>1.01615496838201E-2</c:v>
                  </c:pt>
                  <c:pt idx="3">
                    <c:v>3.5661596920910497E-2</c:v>
                  </c:pt>
                  <c:pt idx="4">
                    <c:v>6.6179523403028198E-2</c:v>
                  </c:pt>
                  <c:pt idx="5">
                    <c:v>2.8261770709136699E-2</c:v>
                  </c:pt>
                  <c:pt idx="6">
                    <c:v>9.8915002794205995E-2</c:v>
                  </c:pt>
                  <c:pt idx="7">
                    <c:v>0.15257947677202899</c:v>
                  </c:pt>
                  <c:pt idx="8">
                    <c:v>0.115030201983744</c:v>
                  </c:pt>
                  <c:pt idx="9">
                    <c:v>8.0717755547376702E-2</c:v>
                  </c:pt>
                  <c:pt idx="10">
                    <c:v>0.30845669604230203</c:v>
                  </c:pt>
                  <c:pt idx="11">
                    <c:v>8.0717755547376702E-2</c:v>
                  </c:pt>
                  <c:pt idx="12">
                    <c:v>0.27102701161626103</c:v>
                  </c:pt>
                </c:numCache>
              </c:numRef>
            </c:minus>
            <c:spPr>
              <a:noFill/>
              <a:ln w="15875" cap="flat" cmpd="sng" algn="ctr">
                <a:solidFill>
                  <a:schemeClr val="accent1">
                    <a:lumMod val="75000"/>
                  </a:schemeClr>
                </a:solidFill>
                <a:round/>
              </a:ln>
              <a:effectLst/>
            </c:spPr>
          </c:errBars>
          <c:xVal>
            <c:numRef>
              <c:f>ValidationCs_SBILithFact2!$C$3:$C$15</c:f>
              <c:numCache>
                <c:formatCode>General</c:formatCode>
                <c:ptCount val="13"/>
                <c:pt idx="0">
                  <c:v>6.4000000000000003E-3</c:v>
                </c:pt>
                <c:pt idx="1">
                  <c:v>1.4999999999999999E-2</c:v>
                </c:pt>
                <c:pt idx="2">
                  <c:v>2.0199999999999999E-2</c:v>
                </c:pt>
                <c:pt idx="3">
                  <c:v>2.6199999999999998E-2</c:v>
                </c:pt>
                <c:pt idx="4">
                  <c:v>4.02E-2</c:v>
                </c:pt>
                <c:pt idx="5">
                  <c:v>4.36E-2</c:v>
                </c:pt>
                <c:pt idx="6">
                  <c:v>4.9599999999999998E-2</c:v>
                </c:pt>
                <c:pt idx="7">
                  <c:v>0.1022</c:v>
                </c:pt>
                <c:pt idx="8">
                  <c:v>0.12559999999999999</c:v>
                </c:pt>
                <c:pt idx="9">
                  <c:v>0.16059999999999999</c:v>
                </c:pt>
                <c:pt idx="10">
                  <c:v>0.17560000000000001</c:v>
                </c:pt>
                <c:pt idx="11">
                  <c:v>0.22340000000000002</c:v>
                </c:pt>
                <c:pt idx="12">
                  <c:v>0.30660000000000004</c:v>
                </c:pt>
              </c:numCache>
            </c:numRef>
          </c:xVal>
          <c:yVal>
            <c:numRef>
              <c:f>ValidationCs_SBILithFact2!$I$3:$I$15</c:f>
              <c:numCache>
                <c:formatCode>General</c:formatCode>
                <c:ptCount val="13"/>
                <c:pt idx="0">
                  <c:v>2.5428571428571401E-2</c:v>
                </c:pt>
                <c:pt idx="1">
                  <c:v>3.7846153846153897E-2</c:v>
                </c:pt>
                <c:pt idx="2">
                  <c:v>1.1988455988456E-2</c:v>
                </c:pt>
                <c:pt idx="3">
                  <c:v>5.7022222222222203E-2</c:v>
                </c:pt>
                <c:pt idx="4">
                  <c:v>6.7037735849056604E-2</c:v>
                </c:pt>
                <c:pt idx="5">
                  <c:v>3.2133333333333298E-2</c:v>
                </c:pt>
                <c:pt idx="6">
                  <c:v>0.1128</c:v>
                </c:pt>
                <c:pt idx="7">
                  <c:v>0.25044444444444403</c:v>
                </c:pt>
                <c:pt idx="8">
                  <c:v>0.1585</c:v>
                </c:pt>
                <c:pt idx="9">
                  <c:v>0.175416666666667</c:v>
                </c:pt>
                <c:pt idx="10">
                  <c:v>0.34333333333333299</c:v>
                </c:pt>
                <c:pt idx="11">
                  <c:v>0.175416666666667</c:v>
                </c:pt>
                <c:pt idx="12">
                  <c:v>0.28788888888888903</c:v>
                </c:pt>
              </c:numCache>
            </c:numRef>
          </c:yVal>
          <c:smooth val="0"/>
          <c:extLst>
            <c:ext xmlns:c16="http://schemas.microsoft.com/office/drawing/2014/chart" uri="{C3380CC4-5D6E-409C-BE32-E72D297353CC}">
              <c16:uniqueId val="{00000001-705F-9A4D-A2E8-A5DEB0195AF2}"/>
            </c:ext>
          </c:extLst>
        </c:ser>
        <c:ser>
          <c:idx val="3"/>
          <c:order val="2"/>
          <c:tx>
            <c:v>ACCESS</c:v>
          </c:tx>
          <c:spPr>
            <a:ln w="19050" cap="rnd">
              <a:noFill/>
              <a:round/>
            </a:ln>
            <a:effectLst/>
          </c:spPr>
          <c:marker>
            <c:symbol val="circle"/>
            <c:size val="7"/>
            <c:spPr>
              <a:solidFill>
                <a:schemeClr val="accent4"/>
              </a:solidFill>
              <a:ln w="9525">
                <a:solidFill>
                  <a:schemeClr val="accent4">
                    <a:lumMod val="50000"/>
                  </a:schemeClr>
                </a:solidFill>
              </a:ln>
              <a:effectLst/>
            </c:spPr>
          </c:marker>
          <c:errBars>
            <c:errDir val="y"/>
            <c:errBarType val="both"/>
            <c:errValType val="cust"/>
            <c:noEndCap val="0"/>
            <c:plus>
              <c:numRef>
                <c:f>ValidationCs_SBILithFact2!$O$3:$O$15</c:f>
                <c:numCache>
                  <c:formatCode>General</c:formatCode>
                  <c:ptCount val="13"/>
                  <c:pt idx="0">
                    <c:v>1.3731957859921699E-2</c:v>
                  </c:pt>
                  <c:pt idx="1">
                    <c:v>1.5963131665830601E-2</c:v>
                  </c:pt>
                  <c:pt idx="2">
                    <c:v>5.5026128428909303E-3</c:v>
                  </c:pt>
                  <c:pt idx="3">
                    <c:v>2.1557241520755801E-2</c:v>
                  </c:pt>
                  <c:pt idx="4">
                    <c:v>3.0608101700764001E-2</c:v>
                  </c:pt>
                  <c:pt idx="5">
                    <c:v>1.54039871175211E-2</c:v>
                  </c:pt>
                  <c:pt idx="6">
                    <c:v>2.67360838908428E-2</c:v>
                  </c:pt>
                  <c:pt idx="7">
                    <c:v>6.3341105044317697E-2</c:v>
                  </c:pt>
                  <c:pt idx="8">
                    <c:v>0.10991951898364</c:v>
                  </c:pt>
                  <c:pt idx="9">
                    <c:v>0.100565354253791</c:v>
                  </c:pt>
                  <c:pt idx="10">
                    <c:v>8.6192425416240601E-2</c:v>
                  </c:pt>
                  <c:pt idx="11">
                    <c:v>0.100565354253791</c:v>
                  </c:pt>
                  <c:pt idx="12">
                    <c:v>0.204215799592074</c:v>
                  </c:pt>
                </c:numCache>
              </c:numRef>
            </c:plus>
            <c:minus>
              <c:numRef>
                <c:f>ValidationCs_SBILithFact2!$O$3:$O$15</c:f>
                <c:numCache>
                  <c:formatCode>General</c:formatCode>
                  <c:ptCount val="13"/>
                  <c:pt idx="0">
                    <c:v>1.3731957859921699E-2</c:v>
                  </c:pt>
                  <c:pt idx="1">
                    <c:v>1.5963131665830601E-2</c:v>
                  </c:pt>
                  <c:pt idx="2">
                    <c:v>5.5026128428909303E-3</c:v>
                  </c:pt>
                  <c:pt idx="3">
                    <c:v>2.1557241520755801E-2</c:v>
                  </c:pt>
                  <c:pt idx="4">
                    <c:v>3.0608101700764001E-2</c:v>
                  </c:pt>
                  <c:pt idx="5">
                    <c:v>1.54039871175211E-2</c:v>
                  </c:pt>
                  <c:pt idx="6">
                    <c:v>2.67360838908428E-2</c:v>
                  </c:pt>
                  <c:pt idx="7">
                    <c:v>6.3341105044317697E-2</c:v>
                  </c:pt>
                  <c:pt idx="8">
                    <c:v>0.10991951898364</c:v>
                  </c:pt>
                  <c:pt idx="9">
                    <c:v>0.100565354253791</c:v>
                  </c:pt>
                  <c:pt idx="10">
                    <c:v>8.6192425416240601E-2</c:v>
                  </c:pt>
                  <c:pt idx="11">
                    <c:v>0.100565354253791</c:v>
                  </c:pt>
                  <c:pt idx="12">
                    <c:v>0.204215799592074</c:v>
                  </c:pt>
                </c:numCache>
              </c:numRef>
            </c:minus>
            <c:spPr>
              <a:noFill/>
              <a:ln w="15875" cap="flat" cmpd="sng" algn="ctr">
                <a:solidFill>
                  <a:schemeClr val="accent4"/>
                </a:solidFill>
                <a:round/>
              </a:ln>
              <a:effectLst/>
            </c:spPr>
          </c:errBars>
          <c:xVal>
            <c:numRef>
              <c:f>ValidationCs_SBILithFact2!$L$2:$L$15</c:f>
              <c:numCache>
                <c:formatCode>General</c:formatCode>
                <c:ptCount val="14"/>
                <c:pt idx="0">
                  <c:v>6.8999999999999999E-3</c:v>
                </c:pt>
                <c:pt idx="1">
                  <c:v>1.55E-2</c:v>
                </c:pt>
                <c:pt idx="2">
                  <c:v>2.07E-2</c:v>
                </c:pt>
                <c:pt idx="3">
                  <c:v>2.6699999999999998E-2</c:v>
                </c:pt>
                <c:pt idx="4">
                  <c:v>4.07E-2</c:v>
                </c:pt>
                <c:pt idx="5">
                  <c:v>4.41E-2</c:v>
                </c:pt>
                <c:pt idx="6">
                  <c:v>5.0099999999999999E-2</c:v>
                </c:pt>
                <c:pt idx="7">
                  <c:v>0.1027</c:v>
                </c:pt>
                <c:pt idx="8">
                  <c:v>0.12609999999999999</c:v>
                </c:pt>
                <c:pt idx="9">
                  <c:v>0.16109999999999999</c:v>
                </c:pt>
                <c:pt idx="10">
                  <c:v>0.17610000000000001</c:v>
                </c:pt>
                <c:pt idx="11">
                  <c:v>0.22390000000000002</c:v>
                </c:pt>
                <c:pt idx="12">
                  <c:v>0.30710000000000004</c:v>
                </c:pt>
                <c:pt idx="13">
                  <c:v>5.0000000000000001E-4</c:v>
                </c:pt>
              </c:numCache>
            </c:numRef>
          </c:xVal>
          <c:yVal>
            <c:numRef>
              <c:f>ValidationCs_SBILithFact2!$N$3:$N$15</c:f>
              <c:numCache>
                <c:formatCode>General</c:formatCode>
                <c:ptCount val="13"/>
                <c:pt idx="0">
                  <c:v>1.38333333333333E-2</c:v>
                </c:pt>
                <c:pt idx="1">
                  <c:v>1.978125E-2</c:v>
                </c:pt>
                <c:pt idx="2">
                  <c:v>5.5427027027026704E-3</c:v>
                </c:pt>
                <c:pt idx="3">
                  <c:v>2.6176470588235301E-2</c:v>
                </c:pt>
                <c:pt idx="4">
                  <c:v>3.2035087719298201E-2</c:v>
                </c:pt>
                <c:pt idx="5">
                  <c:v>1.8258620689655201E-2</c:v>
                </c:pt>
                <c:pt idx="6">
                  <c:v>3.4272727272727302E-2</c:v>
                </c:pt>
                <c:pt idx="7">
                  <c:v>8.47058823529412E-2</c:v>
                </c:pt>
                <c:pt idx="8">
                  <c:v>0.11377777777777801</c:v>
                </c:pt>
                <c:pt idx="9">
                  <c:v>0.13323809523809499</c:v>
                </c:pt>
                <c:pt idx="10">
                  <c:v>0.107090909090909</c:v>
                </c:pt>
                <c:pt idx="11">
                  <c:v>0.13323809523809499</c:v>
                </c:pt>
                <c:pt idx="12">
                  <c:v>0.19230303030303</c:v>
                </c:pt>
              </c:numCache>
            </c:numRef>
          </c:yVal>
          <c:smooth val="0"/>
          <c:extLst>
            <c:ext xmlns:c16="http://schemas.microsoft.com/office/drawing/2014/chart" uri="{C3380CC4-5D6E-409C-BE32-E72D297353CC}">
              <c16:uniqueId val="{00000002-705F-9A4D-A2E8-A5DEB0195AF2}"/>
            </c:ext>
          </c:extLst>
        </c:ser>
        <c:ser>
          <c:idx val="2"/>
          <c:order val="3"/>
          <c:tx>
            <c:v>CANESM</c:v>
          </c:tx>
          <c:spPr>
            <a:ln w="25400" cap="rnd">
              <a:noFill/>
              <a:round/>
            </a:ln>
            <a:effectLst/>
          </c:spPr>
          <c:marker>
            <c:symbol val="circle"/>
            <c:size val="7"/>
            <c:spPr>
              <a:solidFill>
                <a:srgbClr val="C00000"/>
              </a:solidFill>
              <a:ln w="9525">
                <a:solidFill>
                  <a:srgbClr val="FF0000"/>
                </a:solidFill>
              </a:ln>
              <a:effectLst/>
            </c:spPr>
          </c:marker>
          <c:errBars>
            <c:errDir val="y"/>
            <c:errBarType val="both"/>
            <c:errValType val="cust"/>
            <c:noEndCap val="0"/>
            <c:plus>
              <c:numRef>
                <c:f>ValidationCs_SBILithFact2!$T$3:$T$15</c:f>
                <c:numCache>
                  <c:formatCode>General</c:formatCode>
                  <c:ptCount val="13"/>
                  <c:pt idx="0">
                    <c:v>3.5000000000000001E-3</c:v>
                  </c:pt>
                  <c:pt idx="1">
                    <c:v>1.06056385895651E-2</c:v>
                  </c:pt>
                  <c:pt idx="2">
                    <c:v>4.2916823027502396E-3</c:v>
                  </c:pt>
                  <c:pt idx="3">
                    <c:v>2.3872940909999099E-2</c:v>
                  </c:pt>
                  <c:pt idx="4">
                    <c:v>3.68248947655513E-2</c:v>
                  </c:pt>
                  <c:pt idx="5">
                    <c:v>9.0094234853547398E-3</c:v>
                  </c:pt>
                  <c:pt idx="6">
                    <c:v>1.9311684972331902E-2</c:v>
                  </c:pt>
                  <c:pt idx="7">
                    <c:v>3.6613046192786998E-2</c:v>
                  </c:pt>
                  <c:pt idx="8">
                    <c:v>5.8446556784809797E-2</c:v>
                  </c:pt>
                  <c:pt idx="9">
                    <c:v>6.9548475728735307E-2</c:v>
                  </c:pt>
                  <c:pt idx="10">
                    <c:v>0.19311726431828399</c:v>
                  </c:pt>
                  <c:pt idx="11">
                    <c:v>6.9548475728735307E-2</c:v>
                  </c:pt>
                  <c:pt idx="12">
                    <c:v>9.8186404739951494E-2</c:v>
                  </c:pt>
                </c:numCache>
              </c:numRef>
            </c:plus>
            <c:minus>
              <c:numRef>
                <c:f>ValidationCs_SBILithFact2!$T$3:$T$15</c:f>
                <c:numCache>
                  <c:formatCode>General</c:formatCode>
                  <c:ptCount val="13"/>
                  <c:pt idx="0">
                    <c:v>3.5000000000000001E-3</c:v>
                  </c:pt>
                  <c:pt idx="1">
                    <c:v>1.06056385895651E-2</c:v>
                  </c:pt>
                  <c:pt idx="2">
                    <c:v>4.2916823027502396E-3</c:v>
                  </c:pt>
                  <c:pt idx="3">
                    <c:v>2.3872940909999099E-2</c:v>
                  </c:pt>
                  <c:pt idx="4">
                    <c:v>3.68248947655513E-2</c:v>
                  </c:pt>
                  <c:pt idx="5">
                    <c:v>9.0094234853547398E-3</c:v>
                  </c:pt>
                  <c:pt idx="6">
                    <c:v>1.9311684972331902E-2</c:v>
                  </c:pt>
                  <c:pt idx="7">
                    <c:v>3.6613046192786998E-2</c:v>
                  </c:pt>
                  <c:pt idx="8">
                    <c:v>5.8446556784809797E-2</c:v>
                  </c:pt>
                  <c:pt idx="9">
                    <c:v>6.9548475728735307E-2</c:v>
                  </c:pt>
                  <c:pt idx="10">
                    <c:v>0.19311726431828399</c:v>
                  </c:pt>
                  <c:pt idx="11">
                    <c:v>6.9548475728735307E-2</c:v>
                  </c:pt>
                  <c:pt idx="12">
                    <c:v>9.8186404739951494E-2</c:v>
                  </c:pt>
                </c:numCache>
              </c:numRef>
            </c:minus>
            <c:spPr>
              <a:noFill/>
              <a:ln w="15875" cap="flat" cmpd="sng" algn="ctr">
                <a:solidFill>
                  <a:srgbClr val="C00000"/>
                </a:solidFill>
                <a:round/>
              </a:ln>
              <a:effectLst/>
            </c:spPr>
          </c:errBars>
          <c:xVal>
            <c:numRef>
              <c:f>ValidationCs_SBILithFact2!$Q$3:$Q$15</c:f>
              <c:numCache>
                <c:formatCode>General</c:formatCode>
                <c:ptCount val="13"/>
                <c:pt idx="0">
                  <c:v>7.4000000000000003E-3</c:v>
                </c:pt>
                <c:pt idx="1">
                  <c:v>1.6E-2</c:v>
                </c:pt>
                <c:pt idx="2">
                  <c:v>2.12E-2</c:v>
                </c:pt>
                <c:pt idx="3">
                  <c:v>2.7199999999999998E-2</c:v>
                </c:pt>
                <c:pt idx="4">
                  <c:v>4.1200000000000001E-2</c:v>
                </c:pt>
                <c:pt idx="5">
                  <c:v>4.4600000000000001E-2</c:v>
                </c:pt>
                <c:pt idx="6">
                  <c:v>5.0599999999999999E-2</c:v>
                </c:pt>
                <c:pt idx="7">
                  <c:v>0.1032</c:v>
                </c:pt>
                <c:pt idx="8">
                  <c:v>0.12659999999999999</c:v>
                </c:pt>
                <c:pt idx="9">
                  <c:v>0.16159999999999999</c:v>
                </c:pt>
                <c:pt idx="10">
                  <c:v>0.17660000000000001</c:v>
                </c:pt>
                <c:pt idx="11">
                  <c:v>0.22440000000000002</c:v>
                </c:pt>
                <c:pt idx="12">
                  <c:v>0.30760000000000004</c:v>
                </c:pt>
              </c:numCache>
            </c:numRef>
          </c:xVal>
          <c:yVal>
            <c:numRef>
              <c:f>ValidationCs_SBILithFact2!$S$3:$S$15</c:f>
              <c:numCache>
                <c:formatCode>General</c:formatCode>
                <c:ptCount val="13"/>
                <c:pt idx="0">
                  <c:v>9.75E-3</c:v>
                </c:pt>
                <c:pt idx="1">
                  <c:v>1.3290322580645201E-2</c:v>
                </c:pt>
                <c:pt idx="2">
                  <c:v>4.8055865921787398E-3</c:v>
                </c:pt>
                <c:pt idx="3">
                  <c:v>2.3924999999999998E-2</c:v>
                </c:pt>
                <c:pt idx="4">
                  <c:v>3.3923076923076903E-2</c:v>
                </c:pt>
                <c:pt idx="5">
                  <c:v>1.2953846153846199E-2</c:v>
                </c:pt>
                <c:pt idx="6">
                  <c:v>3.4000000000000002E-2</c:v>
                </c:pt>
                <c:pt idx="7">
                  <c:v>5.6166666666666698E-2</c:v>
                </c:pt>
                <c:pt idx="8">
                  <c:v>6.6000000000000003E-2</c:v>
                </c:pt>
                <c:pt idx="9">
                  <c:v>9.9238095238095306E-2</c:v>
                </c:pt>
                <c:pt idx="10">
                  <c:v>0.16550000000000001</c:v>
                </c:pt>
                <c:pt idx="11">
                  <c:v>9.9238095238095306E-2</c:v>
                </c:pt>
                <c:pt idx="12">
                  <c:v>0.123484848484848</c:v>
                </c:pt>
              </c:numCache>
            </c:numRef>
          </c:yVal>
          <c:smooth val="0"/>
          <c:extLst>
            <c:ext xmlns:c16="http://schemas.microsoft.com/office/drawing/2014/chart" uri="{C3380CC4-5D6E-409C-BE32-E72D297353CC}">
              <c16:uniqueId val="{00000003-705F-9A4D-A2E8-A5DEB0195AF2}"/>
            </c:ext>
          </c:extLst>
        </c:ser>
        <c:ser>
          <c:idx val="4"/>
          <c:order val="4"/>
          <c:tx>
            <c:v>CNRM</c:v>
          </c:tx>
          <c:spPr>
            <a:ln w="19050" cap="rnd">
              <a:noFill/>
              <a:round/>
            </a:ln>
            <a:effectLst/>
          </c:spPr>
          <c:marker>
            <c:symbol val="circle"/>
            <c:size val="7"/>
            <c:spPr>
              <a:solidFill>
                <a:schemeClr val="accent6"/>
              </a:solidFill>
              <a:ln w="9525">
                <a:solidFill>
                  <a:schemeClr val="accent6">
                    <a:lumMod val="50000"/>
                  </a:schemeClr>
                </a:solidFill>
              </a:ln>
              <a:effectLst/>
            </c:spPr>
          </c:marker>
          <c:errBars>
            <c:errDir val="y"/>
            <c:errBarType val="both"/>
            <c:errValType val="cust"/>
            <c:noEndCap val="0"/>
            <c:plus>
              <c:numRef>
                <c:f>ValidationCs_SBILithFact2!$Y$3:$Y$15</c:f>
                <c:numCache>
                  <c:formatCode>General</c:formatCode>
                  <c:ptCount val="13"/>
                  <c:pt idx="0">
                    <c:v>8.9209491273817606E-3</c:v>
                  </c:pt>
                  <c:pt idx="1">
                    <c:v>2.2669945109998001E-2</c:v>
                  </c:pt>
                  <c:pt idx="2">
                    <c:v>4.2673869869602702E-3</c:v>
                  </c:pt>
                  <c:pt idx="3">
                    <c:v>1.35749538103384E-2</c:v>
                  </c:pt>
                  <c:pt idx="4">
                    <c:v>2.3734644158557201E-2</c:v>
                  </c:pt>
                  <c:pt idx="5">
                    <c:v>6.54844978731434E-3</c:v>
                  </c:pt>
                  <c:pt idx="6">
                    <c:v>3.18208299293294E-2</c:v>
                  </c:pt>
                  <c:pt idx="7">
                    <c:v>0</c:v>
                  </c:pt>
                  <c:pt idx="8">
                    <c:v>2.0913313144183199E-2</c:v>
                  </c:pt>
                  <c:pt idx="9">
                    <c:v>7.2822982726518506E-2</c:v>
                  </c:pt>
                  <c:pt idx="10">
                    <c:v>7.4042458861694402E-2</c:v>
                  </c:pt>
                  <c:pt idx="11">
                    <c:v>7.2822982726518506E-2</c:v>
                  </c:pt>
                  <c:pt idx="12">
                    <c:v>0.16257707915529401</c:v>
                  </c:pt>
                </c:numCache>
              </c:numRef>
            </c:plus>
            <c:minus>
              <c:numRef>
                <c:f>ValidationCs_SBILithFact2!$Y$3:$Y$15</c:f>
                <c:numCache>
                  <c:formatCode>General</c:formatCode>
                  <c:ptCount val="13"/>
                  <c:pt idx="0">
                    <c:v>8.9209491273817606E-3</c:v>
                  </c:pt>
                  <c:pt idx="1">
                    <c:v>2.2669945109998001E-2</c:v>
                  </c:pt>
                  <c:pt idx="2">
                    <c:v>4.2673869869602702E-3</c:v>
                  </c:pt>
                  <c:pt idx="3">
                    <c:v>1.35749538103384E-2</c:v>
                  </c:pt>
                  <c:pt idx="4">
                    <c:v>2.3734644158557201E-2</c:v>
                  </c:pt>
                  <c:pt idx="5">
                    <c:v>6.54844978731434E-3</c:v>
                  </c:pt>
                  <c:pt idx="6">
                    <c:v>3.18208299293294E-2</c:v>
                  </c:pt>
                  <c:pt idx="7">
                    <c:v>0</c:v>
                  </c:pt>
                  <c:pt idx="8">
                    <c:v>2.0913313144183199E-2</c:v>
                  </c:pt>
                  <c:pt idx="9">
                    <c:v>7.2822982726518506E-2</c:v>
                  </c:pt>
                  <c:pt idx="10">
                    <c:v>7.4042458861694402E-2</c:v>
                  </c:pt>
                  <c:pt idx="11">
                    <c:v>7.2822982726518506E-2</c:v>
                  </c:pt>
                  <c:pt idx="12">
                    <c:v>0.16257707915529401</c:v>
                  </c:pt>
                </c:numCache>
              </c:numRef>
            </c:minus>
            <c:spPr>
              <a:noFill/>
              <a:ln w="15875" cap="flat" cmpd="sng" algn="ctr">
                <a:solidFill>
                  <a:schemeClr val="accent6"/>
                </a:solidFill>
                <a:round/>
              </a:ln>
              <a:effectLst/>
            </c:spPr>
          </c:errBars>
          <c:xVal>
            <c:numRef>
              <c:f>ValidationCs_SBILithFact2!$V$3:$V$15</c:f>
              <c:numCache>
                <c:formatCode>General</c:formatCode>
                <c:ptCount val="13"/>
                <c:pt idx="0">
                  <c:v>5.9000000000000007E-3</c:v>
                </c:pt>
                <c:pt idx="1">
                  <c:v>1.4499999999999999E-2</c:v>
                </c:pt>
                <c:pt idx="2">
                  <c:v>1.9699999999999999E-2</c:v>
                </c:pt>
                <c:pt idx="3">
                  <c:v>2.5699999999999997E-2</c:v>
                </c:pt>
                <c:pt idx="4">
                  <c:v>3.9699999999999999E-2</c:v>
                </c:pt>
                <c:pt idx="5">
                  <c:v>4.3099999999999999E-2</c:v>
                </c:pt>
                <c:pt idx="6">
                  <c:v>4.9099999999999998E-2</c:v>
                </c:pt>
                <c:pt idx="7">
                  <c:v>0.1017</c:v>
                </c:pt>
                <c:pt idx="8">
                  <c:v>0.12509999999999999</c:v>
                </c:pt>
                <c:pt idx="9">
                  <c:v>0.16009999999999999</c:v>
                </c:pt>
                <c:pt idx="10">
                  <c:v>0.17510000000000001</c:v>
                </c:pt>
                <c:pt idx="11">
                  <c:v>0.22290000000000001</c:v>
                </c:pt>
                <c:pt idx="12">
                  <c:v>0.30610000000000004</c:v>
                </c:pt>
              </c:numCache>
            </c:numRef>
          </c:xVal>
          <c:yVal>
            <c:numRef>
              <c:f>ValidationCs_SBILithFact2!$X$3:$X$15</c:f>
              <c:numCache>
                <c:formatCode>General</c:formatCode>
                <c:ptCount val="13"/>
                <c:pt idx="0">
                  <c:v>1.375E-2</c:v>
                </c:pt>
                <c:pt idx="1">
                  <c:v>1.4593750000000001E-2</c:v>
                </c:pt>
                <c:pt idx="2">
                  <c:v>4.2611534276386902E-3</c:v>
                </c:pt>
                <c:pt idx="3">
                  <c:v>2.0361702127659601E-2</c:v>
                </c:pt>
                <c:pt idx="4">
                  <c:v>2.4777777777777801E-2</c:v>
                </c:pt>
                <c:pt idx="5">
                  <c:v>1.00428571428571E-2</c:v>
                </c:pt>
                <c:pt idx="6">
                  <c:v>3.3260869565217399E-2</c:v>
                </c:pt>
                <c:pt idx="7">
                  <c:v>7.6999999999999999E-2</c:v>
                </c:pt>
                <c:pt idx="8">
                  <c:v>4.6833333333333303E-2</c:v>
                </c:pt>
                <c:pt idx="9">
                  <c:v>9.5428571428571404E-2</c:v>
                </c:pt>
                <c:pt idx="10">
                  <c:v>8.6571428571428605E-2</c:v>
                </c:pt>
                <c:pt idx="11">
                  <c:v>9.5428571428571404E-2</c:v>
                </c:pt>
                <c:pt idx="12">
                  <c:v>0.14616000000000001</c:v>
                </c:pt>
              </c:numCache>
            </c:numRef>
          </c:yVal>
          <c:smooth val="0"/>
          <c:extLst>
            <c:ext xmlns:c16="http://schemas.microsoft.com/office/drawing/2014/chart" uri="{C3380CC4-5D6E-409C-BE32-E72D297353CC}">
              <c16:uniqueId val="{00000004-705F-9A4D-A2E8-A5DEB0195AF2}"/>
            </c:ext>
          </c:extLst>
        </c:ser>
        <c:dLbls>
          <c:showLegendKey val="0"/>
          <c:showVal val="0"/>
          <c:showCatName val="0"/>
          <c:showSerName val="0"/>
          <c:showPercent val="0"/>
          <c:showBubbleSize val="0"/>
        </c:dLbls>
        <c:axId val="546400984"/>
        <c:axId val="546401312"/>
      </c:scatterChart>
      <c:valAx>
        <c:axId val="546400984"/>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US"/>
          </a:p>
        </c:txPr>
        <c:crossAx val="546401312"/>
        <c:crosses val="autoZero"/>
        <c:crossBetween val="midCat"/>
      </c:valAx>
      <c:valAx>
        <c:axId val="546401312"/>
        <c:scaling>
          <c:orientation val="minMax"/>
          <c:max val="0.70000000000000007"/>
          <c:min val="0"/>
        </c:scaling>
        <c:delete val="0"/>
        <c:axPos val="l"/>
        <c:majorGridlines>
          <c:spPr>
            <a:ln w="9525" cap="flat" cmpd="sng" algn="ctr">
              <a:solidFill>
                <a:schemeClr val="tx1">
                  <a:lumMod val="15000"/>
                  <a:lumOff val="85000"/>
                </a:schemeClr>
              </a:solidFill>
              <a:round/>
            </a:ln>
            <a:effectLst/>
          </c:spPr>
        </c:majorGridlines>
        <c:title>
          <c:tx>
            <c:strRef>
              <c:f>ValidationCs_SBILithFact2!$C$3:$C$15</c:f>
              <c:strCache>
                <c:ptCount val="13"/>
                <c:pt idx="0">
                  <c:v>0.0064</c:v>
                </c:pt>
                <c:pt idx="1">
                  <c:v>0.015</c:v>
                </c:pt>
                <c:pt idx="2">
                  <c:v>0.0202</c:v>
                </c:pt>
                <c:pt idx="3">
                  <c:v>0.0262</c:v>
                </c:pt>
                <c:pt idx="4">
                  <c:v>0.0402</c:v>
                </c:pt>
                <c:pt idx="5">
                  <c:v>0.0436</c:v>
                </c:pt>
                <c:pt idx="6">
                  <c:v>0.0496</c:v>
                </c:pt>
                <c:pt idx="7">
                  <c:v>0.1022</c:v>
                </c:pt>
                <c:pt idx="8">
                  <c:v>0.1256</c:v>
                </c:pt>
                <c:pt idx="9">
                  <c:v>0.1606</c:v>
                </c:pt>
                <c:pt idx="10">
                  <c:v>0.1756</c:v>
                </c:pt>
                <c:pt idx="11">
                  <c:v>0.2234</c:v>
                </c:pt>
                <c:pt idx="12">
                  <c:v>0.3066</c:v>
                </c:pt>
              </c:strCache>
            </c:strRef>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546400984"/>
        <c:crosses val="autoZero"/>
        <c:crossBetween val="midCat"/>
        <c:majorUnit val="5.000000000000001E-2"/>
      </c:valAx>
      <c:spPr>
        <a:noFill/>
        <a:ln>
          <a:noFill/>
        </a:ln>
        <a:effectLst/>
      </c:spPr>
    </c:plotArea>
    <c:legend>
      <c:legendPos val="b"/>
      <c:layout>
        <c:manualLayout>
          <c:xMode val="edge"/>
          <c:yMode val="edge"/>
          <c:x val="0"/>
          <c:y val="0.91619532424206274"/>
          <c:w val="0.98663301415220772"/>
          <c:h val="7.4851920930391572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802534796038548"/>
          <c:y val="3.4474483351697074E-2"/>
          <c:w val="0.78592297662983102"/>
          <c:h val="0.76596046867861656"/>
        </c:manualLayout>
      </c:layout>
      <c:scatterChart>
        <c:scatterStyle val="lineMarker"/>
        <c:varyColors val="0"/>
        <c:ser>
          <c:idx val="0"/>
          <c:order val="0"/>
          <c:tx>
            <c:v>Usk</c:v>
          </c:tx>
          <c:spPr>
            <a:ln w="19050" cap="rnd">
              <a:solidFill>
                <a:schemeClr val="tx1"/>
              </a:solidFill>
              <a:round/>
            </a:ln>
            <a:effectLst/>
          </c:spPr>
          <c:marker>
            <c:symbol val="circle"/>
            <c:size val="7"/>
            <c:spPr>
              <a:solidFill>
                <a:schemeClr val="tx1"/>
              </a:solidFill>
              <a:ln w="12700">
                <a:solidFill>
                  <a:schemeClr val="tx1"/>
                </a:solidFill>
              </a:ln>
              <a:effectLst/>
            </c:spPr>
          </c:marker>
          <c:xVal>
            <c:numRef>
              <c:f>UncertaintyCs_SBILith1.5to2!$C$7:$C$19</c:f>
              <c:numCache>
                <c:formatCode>0.0000</c:formatCode>
                <c:ptCount val="13"/>
                <c:pt idx="0">
                  <c:v>6.4000000000000003E-3</c:v>
                </c:pt>
                <c:pt idx="1">
                  <c:v>1.4999999999999999E-2</c:v>
                </c:pt>
                <c:pt idx="2">
                  <c:v>2.0199999999999999E-2</c:v>
                </c:pt>
                <c:pt idx="3">
                  <c:v>2.6199999999999998E-2</c:v>
                </c:pt>
                <c:pt idx="4">
                  <c:v>4.02E-2</c:v>
                </c:pt>
                <c:pt idx="5">
                  <c:v>4.36E-2</c:v>
                </c:pt>
                <c:pt idx="6">
                  <c:v>4.9599999999999998E-2</c:v>
                </c:pt>
                <c:pt idx="7">
                  <c:v>0.1022</c:v>
                </c:pt>
                <c:pt idx="8">
                  <c:v>0.12559999999999999</c:v>
                </c:pt>
                <c:pt idx="9">
                  <c:v>0.16059999999999999</c:v>
                </c:pt>
                <c:pt idx="10">
                  <c:v>0.17560000000000001</c:v>
                </c:pt>
                <c:pt idx="11">
                  <c:v>0.22340000000000002</c:v>
                </c:pt>
                <c:pt idx="12">
                  <c:v>0.30660000000000004</c:v>
                </c:pt>
              </c:numCache>
            </c:numRef>
          </c:xVal>
          <c:yVal>
            <c:numRef>
              <c:f>UncertaintyCs_SBILith1.5to2!$D$7:$D$19</c:f>
              <c:numCache>
                <c:formatCode>0.0000</c:formatCode>
                <c:ptCount val="13"/>
                <c:pt idx="0">
                  <c:v>6.4000000000000003E-3</c:v>
                </c:pt>
                <c:pt idx="1">
                  <c:v>1.4999999999999999E-2</c:v>
                </c:pt>
                <c:pt idx="2">
                  <c:v>2.0199999999999999E-2</c:v>
                </c:pt>
                <c:pt idx="3">
                  <c:v>2.6199999999999998E-2</c:v>
                </c:pt>
                <c:pt idx="4">
                  <c:v>4.02E-2</c:v>
                </c:pt>
                <c:pt idx="5">
                  <c:v>4.36E-2</c:v>
                </c:pt>
                <c:pt idx="6">
                  <c:v>4.9599999999999998E-2</c:v>
                </c:pt>
                <c:pt idx="7">
                  <c:v>0.1022</c:v>
                </c:pt>
                <c:pt idx="8">
                  <c:v>0.12559999999999999</c:v>
                </c:pt>
                <c:pt idx="9">
                  <c:v>0.16059999999999999</c:v>
                </c:pt>
                <c:pt idx="10">
                  <c:v>0.17560000000000001</c:v>
                </c:pt>
                <c:pt idx="11">
                  <c:v>0.22340000000000002</c:v>
                </c:pt>
                <c:pt idx="12">
                  <c:v>0.30660000000000004</c:v>
                </c:pt>
              </c:numCache>
            </c:numRef>
          </c:yVal>
          <c:smooth val="0"/>
          <c:extLst>
            <c:ext xmlns:c16="http://schemas.microsoft.com/office/drawing/2014/chart" uri="{C3380CC4-5D6E-409C-BE32-E72D297353CC}">
              <c16:uniqueId val="{00000000-F2E3-CB4F-B13D-1434C246183A}"/>
            </c:ext>
          </c:extLst>
        </c:ser>
        <c:ser>
          <c:idx val="1"/>
          <c:order val="1"/>
          <c:tx>
            <c:v>ECCC L2</c:v>
          </c:tx>
          <c:spPr>
            <a:ln w="19050" cap="rnd">
              <a:noFill/>
              <a:round/>
            </a:ln>
            <a:effectLst/>
          </c:spPr>
          <c:marker>
            <c:symbol val="circle"/>
            <c:size val="7"/>
            <c:spPr>
              <a:solidFill>
                <a:schemeClr val="accent1"/>
              </a:solidFill>
              <a:ln w="12700">
                <a:solidFill>
                  <a:schemeClr val="accent1">
                    <a:lumMod val="50000"/>
                  </a:schemeClr>
                </a:solidFill>
              </a:ln>
              <a:effectLst/>
            </c:spPr>
          </c:marker>
          <c:errBars>
            <c:errDir val="y"/>
            <c:errBarType val="both"/>
            <c:errValType val="cust"/>
            <c:noEndCap val="0"/>
            <c:plus>
              <c:numRef>
                <c:f>UncertaintyCs_SBILith1.5to2!$K$7:$K$19</c:f>
                <c:numCache>
                  <c:formatCode>General</c:formatCode>
                  <c:ptCount val="13"/>
                  <c:pt idx="0">
                    <c:v>1.5240201319659001E-2</c:v>
                  </c:pt>
                  <c:pt idx="1">
                    <c:v>2.9875330703029598E-2</c:v>
                  </c:pt>
                  <c:pt idx="2">
                    <c:v>1.01615496838201E-2</c:v>
                  </c:pt>
                  <c:pt idx="3">
                    <c:v>3.5661596920910497E-2</c:v>
                  </c:pt>
                  <c:pt idx="4">
                    <c:v>6.6179523403028198E-2</c:v>
                  </c:pt>
                  <c:pt idx="5">
                    <c:v>2.8261770709136699E-2</c:v>
                  </c:pt>
                  <c:pt idx="6">
                    <c:v>9.8915002794205995E-2</c:v>
                  </c:pt>
                  <c:pt idx="7">
                    <c:v>0.15257947677202899</c:v>
                  </c:pt>
                  <c:pt idx="8">
                    <c:v>0.115030201983744</c:v>
                  </c:pt>
                  <c:pt idx="9">
                    <c:v>8.0717755547376702E-2</c:v>
                  </c:pt>
                  <c:pt idx="10">
                    <c:v>0.30845669604230203</c:v>
                  </c:pt>
                  <c:pt idx="11">
                    <c:v>8.0717755547376702E-2</c:v>
                  </c:pt>
                  <c:pt idx="12">
                    <c:v>0.27102701161626103</c:v>
                  </c:pt>
                </c:numCache>
              </c:numRef>
            </c:plus>
            <c:minus>
              <c:numRef>
                <c:f>UncertaintyCs_SBILith1.5to2!$K$7:$K$19</c:f>
                <c:numCache>
                  <c:formatCode>General</c:formatCode>
                  <c:ptCount val="13"/>
                  <c:pt idx="0">
                    <c:v>1.5240201319659001E-2</c:v>
                  </c:pt>
                  <c:pt idx="1">
                    <c:v>2.9875330703029598E-2</c:v>
                  </c:pt>
                  <c:pt idx="2">
                    <c:v>1.01615496838201E-2</c:v>
                  </c:pt>
                  <c:pt idx="3">
                    <c:v>3.5661596920910497E-2</c:v>
                  </c:pt>
                  <c:pt idx="4">
                    <c:v>6.6179523403028198E-2</c:v>
                  </c:pt>
                  <c:pt idx="5">
                    <c:v>2.8261770709136699E-2</c:v>
                  </c:pt>
                  <c:pt idx="6">
                    <c:v>9.8915002794205995E-2</c:v>
                  </c:pt>
                  <c:pt idx="7">
                    <c:v>0.15257947677202899</c:v>
                  </c:pt>
                  <c:pt idx="8">
                    <c:v>0.115030201983744</c:v>
                  </c:pt>
                  <c:pt idx="9">
                    <c:v>8.0717755547376702E-2</c:v>
                  </c:pt>
                  <c:pt idx="10">
                    <c:v>0.30845669604230203</c:v>
                  </c:pt>
                  <c:pt idx="11">
                    <c:v>8.0717755547376702E-2</c:v>
                  </c:pt>
                  <c:pt idx="12">
                    <c:v>0.27102701161626103</c:v>
                  </c:pt>
                </c:numCache>
              </c:numRef>
            </c:minus>
            <c:spPr>
              <a:noFill/>
              <a:ln w="50800" cap="flat" cmpd="sng" algn="ctr">
                <a:solidFill>
                  <a:schemeClr val="accent1">
                    <a:lumMod val="75000"/>
                  </a:schemeClr>
                </a:solidFill>
                <a:round/>
                <a:headEnd w="lg" len="lg"/>
                <a:tailEnd w="lg" len="lg"/>
              </a:ln>
              <a:effectLst/>
            </c:spPr>
          </c:errBars>
          <c:xVal>
            <c:numRef>
              <c:f>UncertaintyCs_SBILith1.5to2!$C$7:$C$19</c:f>
              <c:numCache>
                <c:formatCode>0.0000</c:formatCode>
                <c:ptCount val="13"/>
                <c:pt idx="0">
                  <c:v>6.4000000000000003E-3</c:v>
                </c:pt>
                <c:pt idx="1">
                  <c:v>1.4999999999999999E-2</c:v>
                </c:pt>
                <c:pt idx="2">
                  <c:v>2.0199999999999999E-2</c:v>
                </c:pt>
                <c:pt idx="3">
                  <c:v>2.6199999999999998E-2</c:v>
                </c:pt>
                <c:pt idx="4">
                  <c:v>4.02E-2</c:v>
                </c:pt>
                <c:pt idx="5">
                  <c:v>4.36E-2</c:v>
                </c:pt>
                <c:pt idx="6">
                  <c:v>4.9599999999999998E-2</c:v>
                </c:pt>
                <c:pt idx="7">
                  <c:v>0.1022</c:v>
                </c:pt>
                <c:pt idx="8">
                  <c:v>0.12559999999999999</c:v>
                </c:pt>
                <c:pt idx="9">
                  <c:v>0.16059999999999999</c:v>
                </c:pt>
                <c:pt idx="10">
                  <c:v>0.17560000000000001</c:v>
                </c:pt>
                <c:pt idx="11">
                  <c:v>0.22340000000000002</c:v>
                </c:pt>
                <c:pt idx="12">
                  <c:v>0.30660000000000004</c:v>
                </c:pt>
              </c:numCache>
            </c:numRef>
          </c:xVal>
          <c:yVal>
            <c:numRef>
              <c:f>UncertaintyCs_SBILith1.5to2!$J$7:$J$19</c:f>
              <c:numCache>
                <c:formatCode>0.0000</c:formatCode>
                <c:ptCount val="13"/>
                <c:pt idx="0">
                  <c:v>2.5428571428571401E-2</c:v>
                </c:pt>
                <c:pt idx="1">
                  <c:v>3.7846153846153897E-2</c:v>
                </c:pt>
                <c:pt idx="2">
                  <c:v>1.1988455988456E-2</c:v>
                </c:pt>
                <c:pt idx="3">
                  <c:v>5.7022222222222203E-2</c:v>
                </c:pt>
                <c:pt idx="4">
                  <c:v>6.7037735849056604E-2</c:v>
                </c:pt>
                <c:pt idx="5">
                  <c:v>3.2133333333333298E-2</c:v>
                </c:pt>
                <c:pt idx="6">
                  <c:v>0.1128</c:v>
                </c:pt>
                <c:pt idx="7">
                  <c:v>0.25044444444444403</c:v>
                </c:pt>
                <c:pt idx="8">
                  <c:v>0.1585</c:v>
                </c:pt>
                <c:pt idx="9">
                  <c:v>0.175416666666667</c:v>
                </c:pt>
                <c:pt idx="10">
                  <c:v>0.34333333333333299</c:v>
                </c:pt>
                <c:pt idx="11">
                  <c:v>0.175416666666667</c:v>
                </c:pt>
                <c:pt idx="12">
                  <c:v>0.28788888888888903</c:v>
                </c:pt>
              </c:numCache>
            </c:numRef>
          </c:yVal>
          <c:smooth val="0"/>
          <c:extLst>
            <c:ext xmlns:c16="http://schemas.microsoft.com/office/drawing/2014/chart" uri="{C3380CC4-5D6E-409C-BE32-E72D297353CC}">
              <c16:uniqueId val="{00000001-F2E3-CB4F-B13D-1434C246183A}"/>
            </c:ext>
          </c:extLst>
        </c:ser>
        <c:ser>
          <c:idx val="3"/>
          <c:order val="2"/>
          <c:tx>
            <c:v>ACCESS  L2</c:v>
          </c:tx>
          <c:spPr>
            <a:ln w="19050" cap="rnd">
              <a:noFill/>
              <a:round/>
            </a:ln>
            <a:effectLst/>
          </c:spPr>
          <c:marker>
            <c:symbol val="circle"/>
            <c:size val="7"/>
            <c:spPr>
              <a:solidFill>
                <a:schemeClr val="accent4"/>
              </a:solidFill>
              <a:ln w="9525">
                <a:solidFill>
                  <a:schemeClr val="accent4">
                    <a:lumMod val="50000"/>
                  </a:schemeClr>
                </a:solidFill>
              </a:ln>
              <a:effectLst/>
            </c:spPr>
          </c:marker>
          <c:errBars>
            <c:errDir val="y"/>
            <c:errBarType val="both"/>
            <c:errValType val="cust"/>
            <c:noEndCap val="0"/>
            <c:plus>
              <c:numRef>
                <c:f>UncertaintyCs_SBILith1.5to2!$R$7:$R$19</c:f>
                <c:numCache>
                  <c:formatCode>General</c:formatCode>
                  <c:ptCount val="13"/>
                  <c:pt idx="0">
                    <c:v>1.3731957859921699E-2</c:v>
                  </c:pt>
                  <c:pt idx="1">
                    <c:v>1.5963131665830601E-2</c:v>
                  </c:pt>
                  <c:pt idx="2">
                    <c:v>5.5026128428909303E-3</c:v>
                  </c:pt>
                  <c:pt idx="3">
                    <c:v>2.1557241520755801E-2</c:v>
                  </c:pt>
                  <c:pt idx="4">
                    <c:v>3.0608101700764001E-2</c:v>
                  </c:pt>
                  <c:pt idx="5">
                    <c:v>1.54039871175211E-2</c:v>
                  </c:pt>
                  <c:pt idx="6">
                    <c:v>2.67360838908428E-2</c:v>
                  </c:pt>
                  <c:pt idx="7">
                    <c:v>6.3341105044317697E-2</c:v>
                  </c:pt>
                  <c:pt idx="8">
                    <c:v>0.10991951898364</c:v>
                  </c:pt>
                  <c:pt idx="9">
                    <c:v>0.100565354253791</c:v>
                  </c:pt>
                  <c:pt idx="10">
                    <c:v>8.6192425416240601E-2</c:v>
                  </c:pt>
                  <c:pt idx="11">
                    <c:v>0.100565354253791</c:v>
                  </c:pt>
                  <c:pt idx="12">
                    <c:v>0.204215799592074</c:v>
                  </c:pt>
                </c:numCache>
              </c:numRef>
            </c:plus>
            <c:minus>
              <c:numRef>
                <c:f>UncertaintyCs_SBILith1.5to2!$R$7:$R$19</c:f>
                <c:numCache>
                  <c:formatCode>General</c:formatCode>
                  <c:ptCount val="13"/>
                  <c:pt idx="0">
                    <c:v>1.3731957859921699E-2</c:v>
                  </c:pt>
                  <c:pt idx="1">
                    <c:v>1.5963131665830601E-2</c:v>
                  </c:pt>
                  <c:pt idx="2">
                    <c:v>5.5026128428909303E-3</c:v>
                  </c:pt>
                  <c:pt idx="3">
                    <c:v>2.1557241520755801E-2</c:v>
                  </c:pt>
                  <c:pt idx="4">
                    <c:v>3.0608101700764001E-2</c:v>
                  </c:pt>
                  <c:pt idx="5">
                    <c:v>1.54039871175211E-2</c:v>
                  </c:pt>
                  <c:pt idx="6">
                    <c:v>2.67360838908428E-2</c:v>
                  </c:pt>
                  <c:pt idx="7">
                    <c:v>6.3341105044317697E-2</c:v>
                  </c:pt>
                  <c:pt idx="8">
                    <c:v>0.10991951898364</c:v>
                  </c:pt>
                  <c:pt idx="9">
                    <c:v>0.100565354253791</c:v>
                  </c:pt>
                  <c:pt idx="10">
                    <c:v>8.6192425416240601E-2</c:v>
                  </c:pt>
                  <c:pt idx="11">
                    <c:v>0.100565354253791</c:v>
                  </c:pt>
                  <c:pt idx="12">
                    <c:v>0.204215799592074</c:v>
                  </c:pt>
                </c:numCache>
              </c:numRef>
            </c:minus>
            <c:spPr>
              <a:noFill/>
              <a:ln w="50800" cap="flat" cmpd="sng" algn="ctr">
                <a:solidFill>
                  <a:srgbClr val="E8B41F"/>
                </a:solidFill>
                <a:round/>
              </a:ln>
              <a:effectLst/>
            </c:spPr>
          </c:errBars>
          <c:xVal>
            <c:numRef>
              <c:f>UncertaintyCs_SBILith1.5to2!$M$7:$M$19</c:f>
              <c:numCache>
                <c:formatCode>0.0000</c:formatCode>
                <c:ptCount val="13"/>
                <c:pt idx="0">
                  <c:v>9.4000000000000004E-3</c:v>
                </c:pt>
                <c:pt idx="1">
                  <c:v>1.7999999999999999E-2</c:v>
                </c:pt>
                <c:pt idx="2">
                  <c:v>2.3199999999999998E-2</c:v>
                </c:pt>
                <c:pt idx="3">
                  <c:v>2.9199999999999997E-2</c:v>
                </c:pt>
                <c:pt idx="4">
                  <c:v>4.3200000000000002E-2</c:v>
                </c:pt>
                <c:pt idx="5">
                  <c:v>4.6600000000000003E-2</c:v>
                </c:pt>
                <c:pt idx="6">
                  <c:v>5.2600000000000001E-2</c:v>
                </c:pt>
                <c:pt idx="7">
                  <c:v>0.1052</c:v>
                </c:pt>
                <c:pt idx="8">
                  <c:v>0.12859999999999999</c:v>
                </c:pt>
                <c:pt idx="9">
                  <c:v>0.1636</c:v>
                </c:pt>
                <c:pt idx="10">
                  <c:v>0.17860000000000001</c:v>
                </c:pt>
                <c:pt idx="11">
                  <c:v>0.22640000000000002</c:v>
                </c:pt>
                <c:pt idx="12">
                  <c:v>0.30960000000000004</c:v>
                </c:pt>
              </c:numCache>
            </c:numRef>
          </c:xVal>
          <c:yVal>
            <c:numRef>
              <c:f>UncertaintyCs_SBILith1.5to2!$Q$7:$Q$19</c:f>
              <c:numCache>
                <c:formatCode>0.0000</c:formatCode>
                <c:ptCount val="13"/>
                <c:pt idx="0">
                  <c:v>1.38333333333333E-2</c:v>
                </c:pt>
                <c:pt idx="1">
                  <c:v>1.978125E-2</c:v>
                </c:pt>
                <c:pt idx="2">
                  <c:v>5.5427027027026704E-3</c:v>
                </c:pt>
                <c:pt idx="3">
                  <c:v>2.6176470588235301E-2</c:v>
                </c:pt>
                <c:pt idx="4">
                  <c:v>3.2035087719298201E-2</c:v>
                </c:pt>
                <c:pt idx="5">
                  <c:v>1.8258620689655201E-2</c:v>
                </c:pt>
                <c:pt idx="6">
                  <c:v>3.4272727272727302E-2</c:v>
                </c:pt>
                <c:pt idx="7">
                  <c:v>8.47058823529412E-2</c:v>
                </c:pt>
                <c:pt idx="8">
                  <c:v>0.11377777777777801</c:v>
                </c:pt>
                <c:pt idx="9">
                  <c:v>0.13323809523809499</c:v>
                </c:pt>
                <c:pt idx="10">
                  <c:v>0.107090909090909</c:v>
                </c:pt>
                <c:pt idx="11">
                  <c:v>0.13323809523809499</c:v>
                </c:pt>
                <c:pt idx="12">
                  <c:v>0.19230303030303</c:v>
                </c:pt>
              </c:numCache>
            </c:numRef>
          </c:yVal>
          <c:smooth val="0"/>
          <c:extLst>
            <c:ext xmlns:c16="http://schemas.microsoft.com/office/drawing/2014/chart" uri="{C3380CC4-5D6E-409C-BE32-E72D297353CC}">
              <c16:uniqueId val="{00000002-F2E3-CB4F-B13D-1434C246183A}"/>
            </c:ext>
          </c:extLst>
        </c:ser>
        <c:ser>
          <c:idx val="2"/>
          <c:order val="3"/>
          <c:tx>
            <c:v>CANESM  L2</c:v>
          </c:tx>
          <c:spPr>
            <a:ln w="25400" cap="rnd">
              <a:noFill/>
              <a:round/>
            </a:ln>
            <a:effectLst/>
          </c:spPr>
          <c:marker>
            <c:symbol val="circle"/>
            <c:size val="7"/>
            <c:spPr>
              <a:solidFill>
                <a:srgbClr val="C00000"/>
              </a:solidFill>
              <a:ln w="9525">
                <a:solidFill>
                  <a:srgbClr val="FF0000"/>
                </a:solidFill>
              </a:ln>
              <a:effectLst/>
            </c:spPr>
          </c:marker>
          <c:errBars>
            <c:errDir val="y"/>
            <c:errBarType val="both"/>
            <c:errValType val="cust"/>
            <c:noEndCap val="0"/>
            <c:plus>
              <c:numRef>
                <c:f>UncertaintyCs_SBILith1.5to2!$Y$7:$Y$19</c:f>
                <c:numCache>
                  <c:formatCode>General</c:formatCode>
                  <c:ptCount val="13"/>
                  <c:pt idx="0">
                    <c:v>3.5000000000000001E-3</c:v>
                  </c:pt>
                  <c:pt idx="1">
                    <c:v>1.06056385895651E-2</c:v>
                  </c:pt>
                  <c:pt idx="2">
                    <c:v>4.2916823027502396E-3</c:v>
                  </c:pt>
                  <c:pt idx="3">
                    <c:v>2.3872940909999099E-2</c:v>
                  </c:pt>
                  <c:pt idx="4">
                    <c:v>3.68248947655513E-2</c:v>
                  </c:pt>
                  <c:pt idx="5">
                    <c:v>9.0094234853547398E-3</c:v>
                  </c:pt>
                  <c:pt idx="6">
                    <c:v>1.9311684972331902E-2</c:v>
                  </c:pt>
                  <c:pt idx="7">
                    <c:v>3.6613046192786998E-2</c:v>
                  </c:pt>
                  <c:pt idx="8">
                    <c:v>5.8446556784809797E-2</c:v>
                  </c:pt>
                  <c:pt idx="9">
                    <c:v>6.9548475728735307E-2</c:v>
                  </c:pt>
                  <c:pt idx="10">
                    <c:v>0.19311726431828399</c:v>
                  </c:pt>
                  <c:pt idx="11">
                    <c:v>6.9548475728735307E-2</c:v>
                  </c:pt>
                  <c:pt idx="12">
                    <c:v>9.8186404739951494E-2</c:v>
                  </c:pt>
                </c:numCache>
              </c:numRef>
            </c:plus>
            <c:minus>
              <c:numRef>
                <c:f>UncertaintyCs_SBILith1.5to2!$Y$7:$Y$19</c:f>
                <c:numCache>
                  <c:formatCode>General</c:formatCode>
                  <c:ptCount val="13"/>
                  <c:pt idx="0">
                    <c:v>3.5000000000000001E-3</c:v>
                  </c:pt>
                  <c:pt idx="1">
                    <c:v>1.06056385895651E-2</c:v>
                  </c:pt>
                  <c:pt idx="2">
                    <c:v>4.2916823027502396E-3</c:v>
                  </c:pt>
                  <c:pt idx="3">
                    <c:v>2.3872940909999099E-2</c:v>
                  </c:pt>
                  <c:pt idx="4">
                    <c:v>3.68248947655513E-2</c:v>
                  </c:pt>
                  <c:pt idx="5">
                    <c:v>9.0094234853547398E-3</c:v>
                  </c:pt>
                  <c:pt idx="6">
                    <c:v>1.9311684972331902E-2</c:v>
                  </c:pt>
                  <c:pt idx="7">
                    <c:v>3.6613046192786998E-2</c:v>
                  </c:pt>
                  <c:pt idx="8">
                    <c:v>5.8446556784809797E-2</c:v>
                  </c:pt>
                  <c:pt idx="9">
                    <c:v>6.9548475728735307E-2</c:v>
                  </c:pt>
                  <c:pt idx="10">
                    <c:v>0.19311726431828399</c:v>
                  </c:pt>
                  <c:pt idx="11">
                    <c:v>6.9548475728735307E-2</c:v>
                  </c:pt>
                  <c:pt idx="12">
                    <c:v>9.8186404739951494E-2</c:v>
                  </c:pt>
                </c:numCache>
              </c:numRef>
            </c:minus>
            <c:spPr>
              <a:noFill/>
              <a:ln w="50800" cap="flat" cmpd="sng" algn="ctr">
                <a:solidFill>
                  <a:srgbClr val="C00000"/>
                </a:solidFill>
                <a:round/>
              </a:ln>
              <a:effectLst/>
            </c:spPr>
          </c:errBars>
          <c:xVal>
            <c:numRef>
              <c:f>UncertaintyCs_SBILith1.5to2!$T$7:$T$19</c:f>
              <c:numCache>
                <c:formatCode>0.0000</c:formatCode>
                <c:ptCount val="13"/>
                <c:pt idx="0">
                  <c:v>1.14E-2</c:v>
                </c:pt>
                <c:pt idx="1">
                  <c:v>0.02</c:v>
                </c:pt>
                <c:pt idx="2">
                  <c:v>2.52E-2</c:v>
                </c:pt>
                <c:pt idx="3">
                  <c:v>3.1199999999999999E-2</c:v>
                </c:pt>
                <c:pt idx="4">
                  <c:v>4.5199999999999997E-2</c:v>
                </c:pt>
                <c:pt idx="5">
                  <c:v>4.8599999999999997E-2</c:v>
                </c:pt>
                <c:pt idx="6">
                  <c:v>5.4599999999999996E-2</c:v>
                </c:pt>
                <c:pt idx="7">
                  <c:v>0.1072</c:v>
                </c:pt>
                <c:pt idx="8">
                  <c:v>0.13059999999999999</c:v>
                </c:pt>
                <c:pt idx="9">
                  <c:v>0.1656</c:v>
                </c:pt>
                <c:pt idx="10">
                  <c:v>0.18060000000000001</c:v>
                </c:pt>
                <c:pt idx="11">
                  <c:v>0.22840000000000002</c:v>
                </c:pt>
                <c:pt idx="12">
                  <c:v>0.31160000000000004</c:v>
                </c:pt>
              </c:numCache>
            </c:numRef>
          </c:xVal>
          <c:yVal>
            <c:numRef>
              <c:f>UncertaintyCs_SBILith1.5to2!$X$7:$X$19</c:f>
              <c:numCache>
                <c:formatCode>0.0000</c:formatCode>
                <c:ptCount val="13"/>
                <c:pt idx="0">
                  <c:v>9.75E-3</c:v>
                </c:pt>
                <c:pt idx="1">
                  <c:v>1.3290322580645201E-2</c:v>
                </c:pt>
                <c:pt idx="2">
                  <c:v>4.8055865921787398E-3</c:v>
                </c:pt>
                <c:pt idx="3">
                  <c:v>2.3924999999999998E-2</c:v>
                </c:pt>
                <c:pt idx="4">
                  <c:v>3.3923076923076903E-2</c:v>
                </c:pt>
                <c:pt idx="5">
                  <c:v>1.2953846153846199E-2</c:v>
                </c:pt>
                <c:pt idx="6">
                  <c:v>3.4000000000000002E-2</c:v>
                </c:pt>
                <c:pt idx="7">
                  <c:v>5.6166666666666698E-2</c:v>
                </c:pt>
                <c:pt idx="8">
                  <c:v>6.6000000000000003E-2</c:v>
                </c:pt>
                <c:pt idx="9">
                  <c:v>9.9238095238095306E-2</c:v>
                </c:pt>
                <c:pt idx="10">
                  <c:v>0.16550000000000001</c:v>
                </c:pt>
                <c:pt idx="11">
                  <c:v>9.9238095238095306E-2</c:v>
                </c:pt>
                <c:pt idx="12">
                  <c:v>0.123484848484848</c:v>
                </c:pt>
              </c:numCache>
            </c:numRef>
          </c:yVal>
          <c:smooth val="0"/>
          <c:extLst>
            <c:ext xmlns:c16="http://schemas.microsoft.com/office/drawing/2014/chart" uri="{C3380CC4-5D6E-409C-BE32-E72D297353CC}">
              <c16:uniqueId val="{00000003-F2E3-CB4F-B13D-1434C246183A}"/>
            </c:ext>
          </c:extLst>
        </c:ser>
        <c:ser>
          <c:idx val="4"/>
          <c:order val="4"/>
          <c:tx>
            <c:v>CNRM  L2</c:v>
          </c:tx>
          <c:spPr>
            <a:ln w="19050" cap="rnd">
              <a:noFill/>
              <a:round/>
            </a:ln>
            <a:effectLst/>
          </c:spPr>
          <c:marker>
            <c:symbol val="circle"/>
            <c:size val="7"/>
            <c:spPr>
              <a:solidFill>
                <a:schemeClr val="accent6"/>
              </a:solidFill>
              <a:ln w="9525">
                <a:solidFill>
                  <a:schemeClr val="accent6">
                    <a:lumMod val="50000"/>
                  </a:schemeClr>
                </a:solidFill>
              </a:ln>
              <a:effectLst/>
            </c:spPr>
          </c:marker>
          <c:errBars>
            <c:errDir val="y"/>
            <c:errBarType val="both"/>
            <c:errValType val="cust"/>
            <c:noEndCap val="0"/>
            <c:plus>
              <c:numRef>
                <c:f>UncertaintyCs_SBILith1.5to2!$AF$7:$AF$19</c:f>
                <c:numCache>
                  <c:formatCode>General</c:formatCode>
                  <c:ptCount val="13"/>
                  <c:pt idx="0">
                    <c:v>8.9209491273817606E-3</c:v>
                  </c:pt>
                  <c:pt idx="1">
                    <c:v>2.2669945109998001E-2</c:v>
                  </c:pt>
                  <c:pt idx="2">
                    <c:v>4.2673869869602702E-3</c:v>
                  </c:pt>
                  <c:pt idx="3">
                    <c:v>1.35749538103384E-2</c:v>
                  </c:pt>
                  <c:pt idx="4">
                    <c:v>2.3734644158557201E-2</c:v>
                  </c:pt>
                  <c:pt idx="5">
                    <c:v>6.54844978731434E-3</c:v>
                  </c:pt>
                  <c:pt idx="6">
                    <c:v>3.18208299293294E-2</c:v>
                  </c:pt>
                  <c:pt idx="7">
                    <c:v>0</c:v>
                  </c:pt>
                  <c:pt idx="8">
                    <c:v>2.0913313144183199E-2</c:v>
                  </c:pt>
                  <c:pt idx="9">
                    <c:v>7.2822982726518506E-2</c:v>
                  </c:pt>
                  <c:pt idx="10">
                    <c:v>7.4042458861694402E-2</c:v>
                  </c:pt>
                  <c:pt idx="11">
                    <c:v>7.2822982726518506E-2</c:v>
                  </c:pt>
                  <c:pt idx="12">
                    <c:v>0.16257707915529401</c:v>
                  </c:pt>
                </c:numCache>
              </c:numRef>
            </c:plus>
            <c:minus>
              <c:numRef>
                <c:f>UncertaintyCs_SBILith1.5to2!$AF$7:$AF$19</c:f>
                <c:numCache>
                  <c:formatCode>General</c:formatCode>
                  <c:ptCount val="13"/>
                  <c:pt idx="0">
                    <c:v>8.9209491273817606E-3</c:v>
                  </c:pt>
                  <c:pt idx="1">
                    <c:v>2.2669945109998001E-2</c:v>
                  </c:pt>
                  <c:pt idx="2">
                    <c:v>4.2673869869602702E-3</c:v>
                  </c:pt>
                  <c:pt idx="3">
                    <c:v>1.35749538103384E-2</c:v>
                  </c:pt>
                  <c:pt idx="4">
                    <c:v>2.3734644158557201E-2</c:v>
                  </c:pt>
                  <c:pt idx="5">
                    <c:v>6.54844978731434E-3</c:v>
                  </c:pt>
                  <c:pt idx="6">
                    <c:v>3.18208299293294E-2</c:v>
                  </c:pt>
                  <c:pt idx="7">
                    <c:v>0</c:v>
                  </c:pt>
                  <c:pt idx="8">
                    <c:v>2.0913313144183199E-2</c:v>
                  </c:pt>
                  <c:pt idx="9">
                    <c:v>7.2822982726518506E-2</c:v>
                  </c:pt>
                  <c:pt idx="10">
                    <c:v>7.4042458861694402E-2</c:v>
                  </c:pt>
                  <c:pt idx="11">
                    <c:v>7.2822982726518506E-2</c:v>
                  </c:pt>
                  <c:pt idx="12">
                    <c:v>0.16257707915529401</c:v>
                  </c:pt>
                </c:numCache>
              </c:numRef>
            </c:minus>
            <c:spPr>
              <a:noFill/>
              <a:ln w="50800" cap="flat" cmpd="sng" algn="ctr">
                <a:solidFill>
                  <a:schemeClr val="accent6">
                    <a:lumMod val="75000"/>
                  </a:schemeClr>
                </a:solidFill>
                <a:round/>
              </a:ln>
              <a:effectLst/>
            </c:spPr>
          </c:errBars>
          <c:xVal>
            <c:numRef>
              <c:f>UncertaintyCs_SBILith1.5to2!$AA$7:$AA$19</c:f>
              <c:numCache>
                <c:formatCode>0.0000</c:formatCode>
                <c:ptCount val="13"/>
                <c:pt idx="0">
                  <c:v>3.4000000000000002E-3</c:v>
                </c:pt>
                <c:pt idx="1">
                  <c:v>1.2E-2</c:v>
                </c:pt>
                <c:pt idx="2">
                  <c:v>1.72E-2</c:v>
                </c:pt>
                <c:pt idx="3">
                  <c:v>2.3199999999999998E-2</c:v>
                </c:pt>
                <c:pt idx="4">
                  <c:v>3.7199999999999997E-2</c:v>
                </c:pt>
                <c:pt idx="5">
                  <c:v>4.0599999999999997E-2</c:v>
                </c:pt>
                <c:pt idx="6">
                  <c:v>4.6599999999999996E-2</c:v>
                </c:pt>
                <c:pt idx="7">
                  <c:v>9.9199999999999997E-2</c:v>
                </c:pt>
                <c:pt idx="8">
                  <c:v>0.12259999999999999</c:v>
                </c:pt>
                <c:pt idx="9">
                  <c:v>0.15759999999999999</c:v>
                </c:pt>
                <c:pt idx="10">
                  <c:v>0.1726</c:v>
                </c:pt>
                <c:pt idx="11">
                  <c:v>0.22040000000000001</c:v>
                </c:pt>
                <c:pt idx="12">
                  <c:v>0.30360000000000004</c:v>
                </c:pt>
              </c:numCache>
            </c:numRef>
          </c:xVal>
          <c:yVal>
            <c:numRef>
              <c:f>UncertaintyCs_SBILith1.5to2!$AE$7:$AE$19</c:f>
              <c:numCache>
                <c:formatCode>0.0000</c:formatCode>
                <c:ptCount val="13"/>
                <c:pt idx="0">
                  <c:v>1.375E-2</c:v>
                </c:pt>
                <c:pt idx="1">
                  <c:v>1.4593750000000001E-2</c:v>
                </c:pt>
                <c:pt idx="2">
                  <c:v>4.2611534276386902E-3</c:v>
                </c:pt>
                <c:pt idx="3">
                  <c:v>2.0361702127659601E-2</c:v>
                </c:pt>
                <c:pt idx="4">
                  <c:v>2.4777777777777801E-2</c:v>
                </c:pt>
                <c:pt idx="5">
                  <c:v>1.00428571428571E-2</c:v>
                </c:pt>
                <c:pt idx="6">
                  <c:v>3.3260869565217399E-2</c:v>
                </c:pt>
                <c:pt idx="7">
                  <c:v>7.6999999999999999E-2</c:v>
                </c:pt>
                <c:pt idx="8">
                  <c:v>4.6833333333333303E-2</c:v>
                </c:pt>
                <c:pt idx="9">
                  <c:v>9.5428571428571404E-2</c:v>
                </c:pt>
                <c:pt idx="10">
                  <c:v>8.6571428571428605E-2</c:v>
                </c:pt>
                <c:pt idx="11">
                  <c:v>9.5428571428571404E-2</c:v>
                </c:pt>
                <c:pt idx="12">
                  <c:v>0.14616000000000001</c:v>
                </c:pt>
              </c:numCache>
            </c:numRef>
          </c:yVal>
          <c:smooth val="0"/>
          <c:extLst>
            <c:ext xmlns:c16="http://schemas.microsoft.com/office/drawing/2014/chart" uri="{C3380CC4-5D6E-409C-BE32-E72D297353CC}">
              <c16:uniqueId val="{00000004-F2E3-CB4F-B13D-1434C246183A}"/>
            </c:ext>
          </c:extLst>
        </c:ser>
        <c:ser>
          <c:idx val="5"/>
          <c:order val="5"/>
          <c:tx>
            <c:v>ECCC L1</c:v>
          </c:tx>
          <c:spPr>
            <a:ln w="19050" cap="rnd">
              <a:noFill/>
              <a:round/>
            </a:ln>
            <a:effectLst/>
          </c:spPr>
          <c:marker>
            <c:symbol val="circle"/>
            <c:size val="7"/>
            <c:spPr>
              <a:solidFill>
                <a:srgbClr val="45C9EF"/>
              </a:solidFill>
              <a:ln w="9525">
                <a:solidFill>
                  <a:schemeClr val="accent5"/>
                </a:solidFill>
              </a:ln>
              <a:effectLst/>
            </c:spPr>
          </c:marker>
          <c:errBars>
            <c:errDir val="y"/>
            <c:errBarType val="both"/>
            <c:errValType val="cust"/>
            <c:noEndCap val="0"/>
            <c:plus>
              <c:numRef>
                <c:f>UncertaintyCs_SBILith1.5to2!$H$7:$H$19</c:f>
                <c:numCache>
                  <c:formatCode>General</c:formatCode>
                  <c:ptCount val="13"/>
                  <c:pt idx="0">
                    <c:v>1.3574580316504501E-2</c:v>
                  </c:pt>
                  <c:pt idx="1">
                    <c:v>2.6515249603548199E-2</c:v>
                  </c:pt>
                  <c:pt idx="2">
                    <c:v>9.1716811847977892E-3</c:v>
                  </c:pt>
                  <c:pt idx="3">
                    <c:v>3.1382746337386899E-2</c:v>
                  </c:pt>
                  <c:pt idx="4">
                    <c:v>5.7946612233813199E-2</c:v>
                  </c:pt>
                  <c:pt idx="5">
                    <c:v>2.5093334248935801E-2</c:v>
                  </c:pt>
                  <c:pt idx="6">
                    <c:v>8.5976030251331007E-2</c:v>
                  </c:pt>
                  <c:pt idx="7">
                    <c:v>0.131250658261655</c:v>
                  </c:pt>
                  <c:pt idx="8">
                    <c:v>9.8927458803221902E-2</c:v>
                  </c:pt>
                  <c:pt idx="9">
                    <c:v>6.8975401851718604E-2</c:v>
                  </c:pt>
                  <c:pt idx="10">
                    <c:v>0.26446963998952799</c:v>
                  </c:pt>
                  <c:pt idx="11">
                    <c:v>6.8975401851718604E-2</c:v>
                  </c:pt>
                  <c:pt idx="12">
                    <c:v>0.23179227978658201</c:v>
                  </c:pt>
                </c:numCache>
              </c:numRef>
            </c:plus>
            <c:minus>
              <c:numRef>
                <c:f>UncertaintyCs_SBILith1.5to2!$H$7:$H$19</c:f>
                <c:numCache>
                  <c:formatCode>General</c:formatCode>
                  <c:ptCount val="13"/>
                  <c:pt idx="0">
                    <c:v>1.3574580316504501E-2</c:v>
                  </c:pt>
                  <c:pt idx="1">
                    <c:v>2.6515249603548199E-2</c:v>
                  </c:pt>
                  <c:pt idx="2">
                    <c:v>9.1716811847977892E-3</c:v>
                  </c:pt>
                  <c:pt idx="3">
                    <c:v>3.1382746337386899E-2</c:v>
                  </c:pt>
                  <c:pt idx="4">
                    <c:v>5.7946612233813199E-2</c:v>
                  </c:pt>
                  <c:pt idx="5">
                    <c:v>2.5093334248935801E-2</c:v>
                  </c:pt>
                  <c:pt idx="6">
                    <c:v>8.5976030251331007E-2</c:v>
                  </c:pt>
                  <c:pt idx="7">
                    <c:v>0.131250658261655</c:v>
                  </c:pt>
                  <c:pt idx="8">
                    <c:v>9.8927458803221902E-2</c:v>
                  </c:pt>
                  <c:pt idx="9">
                    <c:v>6.8975401851718604E-2</c:v>
                  </c:pt>
                  <c:pt idx="10">
                    <c:v>0.26446963998952799</c:v>
                  </c:pt>
                  <c:pt idx="11">
                    <c:v>6.8975401851718604E-2</c:v>
                  </c:pt>
                  <c:pt idx="12">
                    <c:v>0.23179227978658201</c:v>
                  </c:pt>
                </c:numCache>
              </c:numRef>
            </c:minus>
            <c:spPr>
              <a:noFill/>
              <a:ln w="25400" cap="flat" cmpd="sng" algn="ctr">
                <a:solidFill>
                  <a:srgbClr val="45C9EF"/>
                </a:solidFill>
                <a:round/>
              </a:ln>
              <a:effectLst/>
            </c:spPr>
          </c:errBars>
          <c:xVal>
            <c:numRef>
              <c:f>UncertaintyCs_SBILith1.5to2!$C$7:$C$19</c:f>
              <c:numCache>
                <c:formatCode>0.0000</c:formatCode>
                <c:ptCount val="13"/>
                <c:pt idx="0">
                  <c:v>6.4000000000000003E-3</c:v>
                </c:pt>
                <c:pt idx="1">
                  <c:v>1.4999999999999999E-2</c:v>
                </c:pt>
                <c:pt idx="2">
                  <c:v>2.0199999999999999E-2</c:v>
                </c:pt>
                <c:pt idx="3">
                  <c:v>2.6199999999999998E-2</c:v>
                </c:pt>
                <c:pt idx="4">
                  <c:v>4.02E-2</c:v>
                </c:pt>
                <c:pt idx="5">
                  <c:v>4.36E-2</c:v>
                </c:pt>
                <c:pt idx="6">
                  <c:v>4.9599999999999998E-2</c:v>
                </c:pt>
                <c:pt idx="7">
                  <c:v>0.1022</c:v>
                </c:pt>
                <c:pt idx="8">
                  <c:v>0.12559999999999999</c:v>
                </c:pt>
                <c:pt idx="9">
                  <c:v>0.16059999999999999</c:v>
                </c:pt>
                <c:pt idx="10">
                  <c:v>0.17560000000000001</c:v>
                </c:pt>
                <c:pt idx="11">
                  <c:v>0.22340000000000002</c:v>
                </c:pt>
                <c:pt idx="12">
                  <c:v>0.30660000000000004</c:v>
                </c:pt>
              </c:numCache>
            </c:numRef>
          </c:xVal>
          <c:yVal>
            <c:numRef>
              <c:f>UncertaintyCs_SBILith1.5to2!$G$7:$G$19</c:f>
              <c:numCache>
                <c:formatCode>0.0000</c:formatCode>
                <c:ptCount val="13"/>
                <c:pt idx="0">
                  <c:v>2.2499999999999999E-2</c:v>
                </c:pt>
                <c:pt idx="1">
                  <c:v>3.3461538461538501E-2</c:v>
                </c:pt>
                <c:pt idx="2">
                  <c:v>1.08095238095238E-2</c:v>
                </c:pt>
                <c:pt idx="3">
                  <c:v>5.01777777777778E-2</c:v>
                </c:pt>
                <c:pt idx="4">
                  <c:v>5.8811320754716997E-2</c:v>
                </c:pt>
                <c:pt idx="5">
                  <c:v>2.845E-2</c:v>
                </c:pt>
                <c:pt idx="6">
                  <c:v>9.8100000000000007E-2</c:v>
                </c:pt>
                <c:pt idx="7">
                  <c:v>0.2155</c:v>
                </c:pt>
                <c:pt idx="8">
                  <c:v>0.1363</c:v>
                </c:pt>
                <c:pt idx="9">
                  <c:v>0.150166666666667</c:v>
                </c:pt>
                <c:pt idx="10">
                  <c:v>0.29423809523809502</c:v>
                </c:pt>
                <c:pt idx="11">
                  <c:v>0.150166666666667</c:v>
                </c:pt>
                <c:pt idx="12">
                  <c:v>0.24625925925925901</c:v>
                </c:pt>
              </c:numCache>
            </c:numRef>
          </c:yVal>
          <c:smooth val="0"/>
          <c:extLst>
            <c:ext xmlns:c16="http://schemas.microsoft.com/office/drawing/2014/chart" uri="{C3380CC4-5D6E-409C-BE32-E72D297353CC}">
              <c16:uniqueId val="{00000006-F2E3-CB4F-B13D-1434C246183A}"/>
            </c:ext>
          </c:extLst>
        </c:ser>
        <c:ser>
          <c:idx val="6"/>
          <c:order val="6"/>
          <c:tx>
            <c:v>ACCESS L1</c:v>
          </c:tx>
          <c:spPr>
            <a:ln w="19050" cap="rnd">
              <a:noFill/>
              <a:round/>
            </a:ln>
            <a:effectLst/>
          </c:spPr>
          <c:marker>
            <c:symbol val="circle"/>
            <c:size val="7"/>
            <c:spPr>
              <a:solidFill>
                <a:schemeClr val="accent4">
                  <a:lumMod val="40000"/>
                  <a:lumOff val="60000"/>
                </a:schemeClr>
              </a:solidFill>
              <a:ln w="9525">
                <a:solidFill>
                  <a:schemeClr val="accent4"/>
                </a:solidFill>
              </a:ln>
              <a:effectLst/>
            </c:spPr>
          </c:marker>
          <c:errBars>
            <c:errDir val="y"/>
            <c:errBarType val="both"/>
            <c:errValType val="cust"/>
            <c:noEndCap val="0"/>
            <c:plus>
              <c:numRef>
                <c:f>UncertaintyCs_SBILith1.5to2!$O$7:$O$19</c:f>
                <c:numCache>
                  <c:formatCode>General</c:formatCode>
                  <c:ptCount val="13"/>
                  <c:pt idx="0">
                    <c:v>1.19107794315346E-2</c:v>
                  </c:pt>
                  <c:pt idx="1">
                    <c:v>1.40366743143257E-2</c:v>
                  </c:pt>
                  <c:pt idx="2">
                    <c:v>4.9612036436273901E-3</c:v>
                  </c:pt>
                  <c:pt idx="3">
                    <c:v>1.9080325561410399E-2</c:v>
                  </c:pt>
                  <c:pt idx="4">
                    <c:v>2.6784646595262099E-2</c:v>
                  </c:pt>
                  <c:pt idx="5">
                    <c:v>1.3593662449913099E-2</c:v>
                  </c:pt>
                  <c:pt idx="6">
                    <c:v>2.31261363357173E-2</c:v>
                  </c:pt>
                  <c:pt idx="7">
                    <c:v>5.4569370314037802E-2</c:v>
                  </c:pt>
                  <c:pt idx="8">
                    <c:v>9.4424659596258398E-2</c:v>
                  </c:pt>
                  <c:pt idx="9">
                    <c:v>8.5998200424139595E-2</c:v>
                  </c:pt>
                  <c:pt idx="10">
                    <c:v>7.3816785008003094E-2</c:v>
                  </c:pt>
                  <c:pt idx="11">
                    <c:v>8.5998200424139595E-2</c:v>
                  </c:pt>
                  <c:pt idx="12">
                    <c:v>0.17462066571268001</c:v>
                  </c:pt>
                </c:numCache>
              </c:numRef>
            </c:plus>
            <c:minus>
              <c:numRef>
                <c:f>UncertaintyCs_SBILith1.5to2!$O$7:$O$19</c:f>
                <c:numCache>
                  <c:formatCode>General</c:formatCode>
                  <c:ptCount val="13"/>
                  <c:pt idx="0">
                    <c:v>1.19107794315346E-2</c:v>
                  </c:pt>
                  <c:pt idx="1">
                    <c:v>1.40366743143257E-2</c:v>
                  </c:pt>
                  <c:pt idx="2">
                    <c:v>4.9612036436273901E-3</c:v>
                  </c:pt>
                  <c:pt idx="3">
                    <c:v>1.9080325561410399E-2</c:v>
                  </c:pt>
                  <c:pt idx="4">
                    <c:v>2.6784646595262099E-2</c:v>
                  </c:pt>
                  <c:pt idx="5">
                    <c:v>1.3593662449913099E-2</c:v>
                  </c:pt>
                  <c:pt idx="6">
                    <c:v>2.31261363357173E-2</c:v>
                  </c:pt>
                  <c:pt idx="7">
                    <c:v>5.4569370314037802E-2</c:v>
                  </c:pt>
                  <c:pt idx="8">
                    <c:v>9.4424659596258398E-2</c:v>
                  </c:pt>
                  <c:pt idx="9">
                    <c:v>8.5998200424139595E-2</c:v>
                  </c:pt>
                  <c:pt idx="10">
                    <c:v>7.3816785008003094E-2</c:v>
                  </c:pt>
                  <c:pt idx="11">
                    <c:v>8.5998200424139595E-2</c:v>
                  </c:pt>
                  <c:pt idx="12">
                    <c:v>0.17462066571268001</c:v>
                  </c:pt>
                </c:numCache>
              </c:numRef>
            </c:minus>
            <c:spPr>
              <a:noFill/>
              <a:ln w="25400" cap="flat" cmpd="sng" algn="ctr">
                <a:solidFill>
                  <a:schemeClr val="accent4">
                    <a:lumMod val="60000"/>
                    <a:lumOff val="40000"/>
                  </a:schemeClr>
                </a:solidFill>
                <a:round/>
              </a:ln>
              <a:effectLst/>
            </c:spPr>
          </c:errBars>
          <c:xVal>
            <c:numRef>
              <c:f>UncertaintyCs_SBILith1.5to2!$M$7:$M$19</c:f>
              <c:numCache>
                <c:formatCode>0.0000</c:formatCode>
                <c:ptCount val="13"/>
                <c:pt idx="0">
                  <c:v>9.4000000000000004E-3</c:v>
                </c:pt>
                <c:pt idx="1">
                  <c:v>1.7999999999999999E-2</c:v>
                </c:pt>
                <c:pt idx="2">
                  <c:v>2.3199999999999998E-2</c:v>
                </c:pt>
                <c:pt idx="3">
                  <c:v>2.9199999999999997E-2</c:v>
                </c:pt>
                <c:pt idx="4">
                  <c:v>4.3200000000000002E-2</c:v>
                </c:pt>
                <c:pt idx="5">
                  <c:v>4.6600000000000003E-2</c:v>
                </c:pt>
                <c:pt idx="6">
                  <c:v>5.2600000000000001E-2</c:v>
                </c:pt>
                <c:pt idx="7">
                  <c:v>0.1052</c:v>
                </c:pt>
                <c:pt idx="8">
                  <c:v>0.12859999999999999</c:v>
                </c:pt>
                <c:pt idx="9">
                  <c:v>0.1636</c:v>
                </c:pt>
                <c:pt idx="10">
                  <c:v>0.17860000000000001</c:v>
                </c:pt>
                <c:pt idx="11">
                  <c:v>0.22640000000000002</c:v>
                </c:pt>
                <c:pt idx="12">
                  <c:v>0.30960000000000004</c:v>
                </c:pt>
              </c:numCache>
            </c:numRef>
          </c:xVal>
          <c:yVal>
            <c:numRef>
              <c:f>UncertaintyCs_SBILith1.5to2!$N$7:$N$19</c:f>
              <c:numCache>
                <c:formatCode>0.0000</c:formatCode>
                <c:ptCount val="13"/>
                <c:pt idx="0">
                  <c:v>1.23333333333333E-2</c:v>
                </c:pt>
                <c:pt idx="1">
                  <c:v>1.7562500000000002E-2</c:v>
                </c:pt>
                <c:pt idx="2">
                  <c:v>5.0097297297297004E-3</c:v>
                </c:pt>
                <c:pt idx="3">
                  <c:v>2.3029411764705899E-2</c:v>
                </c:pt>
                <c:pt idx="4">
                  <c:v>2.8105263157894699E-2</c:v>
                </c:pt>
                <c:pt idx="5">
                  <c:v>1.61379310344828E-2</c:v>
                </c:pt>
                <c:pt idx="6">
                  <c:v>2.9727272727272699E-2</c:v>
                </c:pt>
                <c:pt idx="7">
                  <c:v>7.2764705882352995E-2</c:v>
                </c:pt>
                <c:pt idx="8">
                  <c:v>9.7611111111111107E-2</c:v>
                </c:pt>
                <c:pt idx="9">
                  <c:v>0.11390476190476199</c:v>
                </c:pt>
                <c:pt idx="10">
                  <c:v>9.1818181818181799E-2</c:v>
                </c:pt>
                <c:pt idx="11">
                  <c:v>0.11390476190476199</c:v>
                </c:pt>
                <c:pt idx="12">
                  <c:v>0.164242424242424</c:v>
                </c:pt>
              </c:numCache>
            </c:numRef>
          </c:yVal>
          <c:smooth val="0"/>
          <c:extLst>
            <c:ext xmlns:c16="http://schemas.microsoft.com/office/drawing/2014/chart" uri="{C3380CC4-5D6E-409C-BE32-E72D297353CC}">
              <c16:uniqueId val="{00000007-F2E3-CB4F-B13D-1434C246183A}"/>
            </c:ext>
          </c:extLst>
        </c:ser>
        <c:ser>
          <c:idx val="7"/>
          <c:order val="7"/>
          <c:tx>
            <c:v>CANESM L1</c:v>
          </c:tx>
          <c:spPr>
            <a:ln w="19050" cap="rnd">
              <a:noFill/>
              <a:round/>
            </a:ln>
            <a:effectLst/>
          </c:spPr>
          <c:marker>
            <c:symbol val="circle"/>
            <c:size val="7"/>
            <c:spPr>
              <a:solidFill>
                <a:srgbClr val="FF0000"/>
              </a:solidFill>
              <a:ln w="9525">
                <a:solidFill>
                  <a:schemeClr val="accent2">
                    <a:lumMod val="60000"/>
                  </a:schemeClr>
                </a:solidFill>
              </a:ln>
              <a:effectLst/>
            </c:spPr>
          </c:marker>
          <c:errBars>
            <c:errDir val="y"/>
            <c:errBarType val="both"/>
            <c:errValType val="cust"/>
            <c:noEndCap val="0"/>
            <c:plus>
              <c:numRef>
                <c:f>UncertaintyCs_SBILith1.5to2!$V$7:$V$19</c:f>
                <c:numCache>
                  <c:formatCode>General</c:formatCode>
                  <c:ptCount val="13"/>
                  <c:pt idx="0">
                    <c:v>3.1091263510296002E-3</c:v>
                  </c:pt>
                  <c:pt idx="1">
                    <c:v>9.5093615447750905E-3</c:v>
                  </c:pt>
                  <c:pt idx="2">
                    <c:v>3.8740551945805799E-3</c:v>
                  </c:pt>
                  <c:pt idx="3">
                    <c:v>2.1078060047941199E-2</c:v>
                  </c:pt>
                  <c:pt idx="4">
                    <c:v>3.2447674060813898E-2</c:v>
                  </c:pt>
                  <c:pt idx="5">
                    <c:v>8.0177687285563001E-3</c:v>
                  </c:pt>
                  <c:pt idx="6">
                    <c:v>1.6705836325077002E-2</c:v>
                  </c:pt>
                  <c:pt idx="7">
                    <c:v>3.1572307582129699E-2</c:v>
                  </c:pt>
                  <c:pt idx="8">
                    <c:v>5.0538351773677798E-2</c:v>
                  </c:pt>
                  <c:pt idx="9">
                    <c:v>5.9673197301556402E-2</c:v>
                  </c:pt>
                  <c:pt idx="10">
                    <c:v>0.16575782200413799</c:v>
                  </c:pt>
                  <c:pt idx="11">
                    <c:v>5.9673197301556402E-2</c:v>
                  </c:pt>
                  <c:pt idx="12">
                    <c:v>8.3977844751404004E-2</c:v>
                  </c:pt>
                </c:numCache>
              </c:numRef>
            </c:plus>
            <c:minus>
              <c:numRef>
                <c:f>UncertaintyCs_SBILith1.5to2!$V$7:$V$19</c:f>
                <c:numCache>
                  <c:formatCode>General</c:formatCode>
                  <c:ptCount val="13"/>
                  <c:pt idx="0">
                    <c:v>3.1091263510296002E-3</c:v>
                  </c:pt>
                  <c:pt idx="1">
                    <c:v>9.5093615447750905E-3</c:v>
                  </c:pt>
                  <c:pt idx="2">
                    <c:v>3.8740551945805799E-3</c:v>
                  </c:pt>
                  <c:pt idx="3">
                    <c:v>2.1078060047941199E-2</c:v>
                  </c:pt>
                  <c:pt idx="4">
                    <c:v>3.2447674060813898E-2</c:v>
                  </c:pt>
                  <c:pt idx="5">
                    <c:v>8.0177687285563001E-3</c:v>
                  </c:pt>
                  <c:pt idx="6">
                    <c:v>1.6705836325077002E-2</c:v>
                  </c:pt>
                  <c:pt idx="7">
                    <c:v>3.1572307582129699E-2</c:v>
                  </c:pt>
                  <c:pt idx="8">
                    <c:v>5.0538351773677798E-2</c:v>
                  </c:pt>
                  <c:pt idx="9">
                    <c:v>5.9673197301556402E-2</c:v>
                  </c:pt>
                  <c:pt idx="10">
                    <c:v>0.16575782200413799</c:v>
                  </c:pt>
                  <c:pt idx="11">
                    <c:v>5.9673197301556402E-2</c:v>
                  </c:pt>
                  <c:pt idx="12">
                    <c:v>8.3977844751404004E-2</c:v>
                  </c:pt>
                </c:numCache>
              </c:numRef>
            </c:minus>
            <c:spPr>
              <a:noFill/>
              <a:ln w="25400" cap="flat" cmpd="sng" algn="ctr">
                <a:solidFill>
                  <a:srgbClr val="FE4933"/>
                </a:solidFill>
                <a:round/>
              </a:ln>
              <a:effectLst/>
            </c:spPr>
          </c:errBars>
          <c:xVal>
            <c:numRef>
              <c:f>UncertaintyCs_SBILith1.5to2!$T$7:$T$19</c:f>
              <c:numCache>
                <c:formatCode>0.0000</c:formatCode>
                <c:ptCount val="13"/>
                <c:pt idx="0">
                  <c:v>1.14E-2</c:v>
                </c:pt>
                <c:pt idx="1">
                  <c:v>0.02</c:v>
                </c:pt>
                <c:pt idx="2">
                  <c:v>2.52E-2</c:v>
                </c:pt>
                <c:pt idx="3">
                  <c:v>3.1199999999999999E-2</c:v>
                </c:pt>
                <c:pt idx="4">
                  <c:v>4.5199999999999997E-2</c:v>
                </c:pt>
                <c:pt idx="5">
                  <c:v>4.8599999999999997E-2</c:v>
                </c:pt>
                <c:pt idx="6">
                  <c:v>5.4599999999999996E-2</c:v>
                </c:pt>
                <c:pt idx="7">
                  <c:v>0.1072</c:v>
                </c:pt>
                <c:pt idx="8">
                  <c:v>0.13059999999999999</c:v>
                </c:pt>
                <c:pt idx="9">
                  <c:v>0.1656</c:v>
                </c:pt>
                <c:pt idx="10">
                  <c:v>0.18060000000000001</c:v>
                </c:pt>
                <c:pt idx="11">
                  <c:v>0.22840000000000002</c:v>
                </c:pt>
                <c:pt idx="12">
                  <c:v>0.31160000000000004</c:v>
                </c:pt>
              </c:numCache>
            </c:numRef>
          </c:xVal>
          <c:yVal>
            <c:numRef>
              <c:f>UncertaintyCs_SBILith1.5to2!$U$7:$U$19</c:f>
              <c:numCache>
                <c:formatCode>0.0000</c:formatCode>
                <c:ptCount val="13"/>
                <c:pt idx="0">
                  <c:v>8.5000000000000006E-3</c:v>
                </c:pt>
                <c:pt idx="1">
                  <c:v>1.1806451612903199E-2</c:v>
                </c:pt>
                <c:pt idx="2">
                  <c:v>4.3284916201116897E-3</c:v>
                </c:pt>
                <c:pt idx="3">
                  <c:v>2.1149999999999999E-2</c:v>
                </c:pt>
                <c:pt idx="4">
                  <c:v>2.9794871794871801E-2</c:v>
                </c:pt>
                <c:pt idx="5">
                  <c:v>1.14769230769231E-2</c:v>
                </c:pt>
                <c:pt idx="6">
                  <c:v>2.9444444444444402E-2</c:v>
                </c:pt>
                <c:pt idx="7">
                  <c:v>4.8416666666666698E-2</c:v>
                </c:pt>
                <c:pt idx="8">
                  <c:v>5.6875000000000002E-2</c:v>
                </c:pt>
                <c:pt idx="9">
                  <c:v>8.5095238095238099E-2</c:v>
                </c:pt>
                <c:pt idx="10">
                  <c:v>0.1421</c:v>
                </c:pt>
                <c:pt idx="11">
                  <c:v>8.5095238095238099E-2</c:v>
                </c:pt>
                <c:pt idx="12">
                  <c:v>0.10581818181818201</c:v>
                </c:pt>
              </c:numCache>
            </c:numRef>
          </c:yVal>
          <c:smooth val="0"/>
          <c:extLst>
            <c:ext xmlns:c16="http://schemas.microsoft.com/office/drawing/2014/chart" uri="{C3380CC4-5D6E-409C-BE32-E72D297353CC}">
              <c16:uniqueId val="{00000008-F2E3-CB4F-B13D-1434C246183A}"/>
            </c:ext>
          </c:extLst>
        </c:ser>
        <c:ser>
          <c:idx val="8"/>
          <c:order val="8"/>
          <c:tx>
            <c:v>CNRM L1</c:v>
          </c:tx>
          <c:spPr>
            <a:ln w="19050" cap="rnd">
              <a:noFill/>
              <a:round/>
            </a:ln>
            <a:effectLst/>
          </c:spPr>
          <c:marker>
            <c:symbol val="circle"/>
            <c:size val="7"/>
            <c:spPr>
              <a:solidFill>
                <a:schemeClr val="accent6">
                  <a:lumMod val="60000"/>
                  <a:lumOff val="40000"/>
                </a:schemeClr>
              </a:solidFill>
              <a:ln w="9525">
                <a:solidFill>
                  <a:schemeClr val="accent6">
                    <a:lumMod val="75000"/>
                  </a:schemeClr>
                </a:solidFill>
              </a:ln>
              <a:effectLst/>
            </c:spPr>
          </c:marker>
          <c:errBars>
            <c:errDir val="y"/>
            <c:errBarType val="both"/>
            <c:errValType val="cust"/>
            <c:noEndCap val="0"/>
            <c:plus>
              <c:numRef>
                <c:f>UncertaintyCs_SBILith1.5to2!$AC$7:$AC$19</c:f>
                <c:numCache>
                  <c:formatCode>General</c:formatCode>
                  <c:ptCount val="13"/>
                  <c:pt idx="0">
                    <c:v>7.9320026895271997E-3</c:v>
                  </c:pt>
                  <c:pt idx="1">
                    <c:v>2.0049937655763399E-2</c:v>
                  </c:pt>
                  <c:pt idx="2">
                    <c:v>3.8460547251807299E-3</c:v>
                  </c:pt>
                  <c:pt idx="3">
                    <c:v>1.1933209128772E-2</c:v>
                  </c:pt>
                  <c:pt idx="4">
                    <c:v>2.0834991387011999E-2</c:v>
                  </c:pt>
                  <c:pt idx="5">
                    <c:v>5.7666852164040602E-3</c:v>
                  </c:pt>
                  <c:pt idx="6">
                    <c:v>2.7669277778907101E-2</c:v>
                  </c:pt>
                  <c:pt idx="7">
                    <c:v>0</c:v>
                  </c:pt>
                  <c:pt idx="8">
                    <c:v>1.7648418248292601E-2</c:v>
                  </c:pt>
                  <c:pt idx="9">
                    <c:v>6.2407381924587398E-2</c:v>
                  </c:pt>
                  <c:pt idx="10">
                    <c:v>6.3615287171439897E-2</c:v>
                  </c:pt>
                  <c:pt idx="11">
                    <c:v>6.2407381924587398E-2</c:v>
                  </c:pt>
                  <c:pt idx="12">
                    <c:v>0.13887922810845399</c:v>
                  </c:pt>
                </c:numCache>
              </c:numRef>
            </c:plus>
            <c:minus>
              <c:numRef>
                <c:f>UncertaintyCs_SBILith1.5to2!$AC$7:$AC$19</c:f>
                <c:numCache>
                  <c:formatCode>General</c:formatCode>
                  <c:ptCount val="13"/>
                  <c:pt idx="0">
                    <c:v>7.9320026895271997E-3</c:v>
                  </c:pt>
                  <c:pt idx="1">
                    <c:v>2.0049937655763399E-2</c:v>
                  </c:pt>
                  <c:pt idx="2">
                    <c:v>3.8460547251807299E-3</c:v>
                  </c:pt>
                  <c:pt idx="3">
                    <c:v>1.1933209128772E-2</c:v>
                  </c:pt>
                  <c:pt idx="4">
                    <c:v>2.0834991387011999E-2</c:v>
                  </c:pt>
                  <c:pt idx="5">
                    <c:v>5.7666852164040602E-3</c:v>
                  </c:pt>
                  <c:pt idx="6">
                    <c:v>2.7669277778907101E-2</c:v>
                  </c:pt>
                  <c:pt idx="7">
                    <c:v>0</c:v>
                  </c:pt>
                  <c:pt idx="8">
                    <c:v>1.7648418248292601E-2</c:v>
                  </c:pt>
                  <c:pt idx="9">
                    <c:v>6.2407381924587398E-2</c:v>
                  </c:pt>
                  <c:pt idx="10">
                    <c:v>6.3615287171439897E-2</c:v>
                  </c:pt>
                  <c:pt idx="11">
                    <c:v>6.2407381924587398E-2</c:v>
                  </c:pt>
                  <c:pt idx="12">
                    <c:v>0.13887922810845399</c:v>
                  </c:pt>
                </c:numCache>
              </c:numRef>
            </c:minus>
            <c:spPr>
              <a:noFill/>
              <a:ln w="25400" cap="flat" cmpd="sng" algn="ctr">
                <a:solidFill>
                  <a:schemeClr val="accent6">
                    <a:lumMod val="40000"/>
                    <a:lumOff val="60000"/>
                  </a:schemeClr>
                </a:solidFill>
                <a:round/>
              </a:ln>
              <a:effectLst/>
            </c:spPr>
          </c:errBars>
          <c:xVal>
            <c:numRef>
              <c:f>UncertaintyCs_SBILith1.5to2!$AA$7:$AA$19</c:f>
              <c:numCache>
                <c:formatCode>0.0000</c:formatCode>
                <c:ptCount val="13"/>
                <c:pt idx="0">
                  <c:v>3.4000000000000002E-3</c:v>
                </c:pt>
                <c:pt idx="1">
                  <c:v>1.2E-2</c:v>
                </c:pt>
                <c:pt idx="2">
                  <c:v>1.72E-2</c:v>
                </c:pt>
                <c:pt idx="3">
                  <c:v>2.3199999999999998E-2</c:v>
                </c:pt>
                <c:pt idx="4">
                  <c:v>3.7199999999999997E-2</c:v>
                </c:pt>
                <c:pt idx="5">
                  <c:v>4.0599999999999997E-2</c:v>
                </c:pt>
                <c:pt idx="6">
                  <c:v>4.6599999999999996E-2</c:v>
                </c:pt>
                <c:pt idx="7">
                  <c:v>9.9199999999999997E-2</c:v>
                </c:pt>
                <c:pt idx="8">
                  <c:v>0.12259999999999999</c:v>
                </c:pt>
                <c:pt idx="9">
                  <c:v>0.15759999999999999</c:v>
                </c:pt>
                <c:pt idx="10">
                  <c:v>0.1726</c:v>
                </c:pt>
                <c:pt idx="11">
                  <c:v>0.22040000000000001</c:v>
                </c:pt>
                <c:pt idx="12">
                  <c:v>0.30360000000000004</c:v>
                </c:pt>
              </c:numCache>
            </c:numRef>
          </c:xVal>
          <c:yVal>
            <c:numRef>
              <c:f>UncertaintyCs_SBILith1.5to2!$AB$7:$AB$19</c:f>
              <c:numCache>
                <c:formatCode>0.0000</c:formatCode>
                <c:ptCount val="13"/>
                <c:pt idx="0">
                  <c:v>1.225E-2</c:v>
                </c:pt>
                <c:pt idx="1">
                  <c:v>1.2999999999999999E-2</c:v>
                </c:pt>
                <c:pt idx="2">
                  <c:v>3.8139281828073598E-3</c:v>
                </c:pt>
                <c:pt idx="3">
                  <c:v>1.7893617021276599E-2</c:v>
                </c:pt>
                <c:pt idx="4">
                  <c:v>2.1592592592592601E-2</c:v>
                </c:pt>
                <c:pt idx="5">
                  <c:v>8.8571428571428603E-3</c:v>
                </c:pt>
                <c:pt idx="6">
                  <c:v>2.8956521739130402E-2</c:v>
                </c:pt>
                <c:pt idx="7">
                  <c:v>6.6000000000000003E-2</c:v>
                </c:pt>
                <c:pt idx="8">
                  <c:v>4.0333333333333297E-2</c:v>
                </c:pt>
                <c:pt idx="9">
                  <c:v>8.1714285714285698E-2</c:v>
                </c:pt>
                <c:pt idx="10">
                  <c:v>7.4285714285714302E-2</c:v>
                </c:pt>
                <c:pt idx="11">
                  <c:v>8.1714285714285698E-2</c:v>
                </c:pt>
                <c:pt idx="12">
                  <c:v>0.12476</c:v>
                </c:pt>
              </c:numCache>
            </c:numRef>
          </c:yVal>
          <c:smooth val="0"/>
          <c:extLst>
            <c:ext xmlns:c16="http://schemas.microsoft.com/office/drawing/2014/chart" uri="{C3380CC4-5D6E-409C-BE32-E72D297353CC}">
              <c16:uniqueId val="{00000009-F2E3-CB4F-B13D-1434C246183A}"/>
            </c:ext>
          </c:extLst>
        </c:ser>
        <c:dLbls>
          <c:showLegendKey val="0"/>
          <c:showVal val="0"/>
          <c:showCatName val="0"/>
          <c:showSerName val="0"/>
          <c:showPercent val="0"/>
          <c:showBubbleSize val="0"/>
        </c:dLbls>
        <c:axId val="546400984"/>
        <c:axId val="546401312"/>
      </c:scatterChart>
      <c:valAx>
        <c:axId val="546400984"/>
        <c:scaling>
          <c:orientation val="minMax"/>
          <c:max val="0.35000000000000003"/>
          <c:min val="0"/>
        </c:scaling>
        <c:delete val="0"/>
        <c:axPos val="b"/>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en-US"/>
          </a:p>
        </c:txPr>
        <c:crossAx val="546401312"/>
        <c:crosses val="autoZero"/>
        <c:crossBetween val="midCat"/>
        <c:majorUnit val="5.000000000000001E-2"/>
      </c:valAx>
      <c:valAx>
        <c:axId val="546401312"/>
        <c:scaling>
          <c:orientation val="minMax"/>
          <c:max val="0.70000000000000007"/>
          <c:min val="0"/>
        </c:scaling>
        <c:delete val="0"/>
        <c:axPos val="l"/>
        <c:majorGridlines>
          <c:spPr>
            <a:ln w="9525" cap="flat" cmpd="sng" algn="ctr">
              <a:solidFill>
                <a:schemeClr val="tx1">
                  <a:lumMod val="15000"/>
                  <a:lumOff val="85000"/>
                </a:schemeClr>
              </a:solidFill>
              <a:round/>
            </a:ln>
            <a:effectLst/>
          </c:spPr>
        </c:majorGridlines>
        <c:title>
          <c:tx>
            <c:strRef>
              <c:f>UncertaintyCs_SBILith1.5to2!$C$7:$C$19</c:f>
              <c:strCache>
                <c:ptCount val="13"/>
                <c:pt idx="0">
                  <c:v>0.0064</c:v>
                </c:pt>
                <c:pt idx="1">
                  <c:v>0.0150</c:v>
                </c:pt>
                <c:pt idx="2">
                  <c:v>0.0202</c:v>
                </c:pt>
                <c:pt idx="3">
                  <c:v>0.0262</c:v>
                </c:pt>
                <c:pt idx="4">
                  <c:v>0.0402</c:v>
                </c:pt>
                <c:pt idx="5">
                  <c:v>0.0436</c:v>
                </c:pt>
                <c:pt idx="6">
                  <c:v>0.0496</c:v>
                </c:pt>
                <c:pt idx="7">
                  <c:v>0.1022</c:v>
                </c:pt>
                <c:pt idx="8">
                  <c:v>0.1256</c:v>
                </c:pt>
                <c:pt idx="9">
                  <c:v>0.1606</c:v>
                </c:pt>
                <c:pt idx="10">
                  <c:v>0.1756</c:v>
                </c:pt>
                <c:pt idx="11">
                  <c:v>0.2234</c:v>
                </c:pt>
                <c:pt idx="12">
                  <c:v>0.3066</c:v>
                </c:pt>
              </c:strCache>
            </c:strRef>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546400984"/>
        <c:crosses val="autoZero"/>
        <c:crossBetween val="midCat"/>
        <c:majorUnit val="5.000000000000001E-2"/>
      </c:valAx>
      <c:spPr>
        <a:noFill/>
        <a:ln>
          <a:noFill/>
        </a:ln>
        <a:effectLst/>
      </c:spPr>
    </c:plotArea>
    <c:legend>
      <c:legendPos val="b"/>
      <c:layout>
        <c:manualLayout>
          <c:xMode val="edge"/>
          <c:yMode val="edge"/>
          <c:x val="8.9529590288315627E-2"/>
          <c:y val="0.91619537613383295"/>
          <c:w val="0.84243791889055564"/>
          <c:h val="7.9161880127302922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0</xdr:colOff>
      <xdr:row>2</xdr:row>
      <xdr:rowOff>0</xdr:rowOff>
    </xdr:from>
    <xdr:to>
      <xdr:col>2</xdr:col>
      <xdr:colOff>203200</xdr:colOff>
      <xdr:row>2</xdr:row>
      <xdr:rowOff>177800</xdr:rowOff>
    </xdr:to>
    <xdr:pic>
      <xdr:nvPicPr>
        <xdr:cNvPr id="2" name="Picture 1">
          <a:extLst>
            <a:ext uri="{FF2B5EF4-FFF2-40B4-BE49-F238E27FC236}">
              <a16:creationId xmlns:a16="http://schemas.microsoft.com/office/drawing/2014/main" id="{3300F0C9-0035-F749-83A3-3E6A7E1B61DE}"/>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51000" y="203200"/>
          <a:ext cx="203200" cy="17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2</xdr:row>
      <xdr:rowOff>0</xdr:rowOff>
    </xdr:from>
    <xdr:to>
      <xdr:col>3</xdr:col>
      <xdr:colOff>203200</xdr:colOff>
      <xdr:row>2</xdr:row>
      <xdr:rowOff>177800</xdr:rowOff>
    </xdr:to>
    <xdr:pic>
      <xdr:nvPicPr>
        <xdr:cNvPr id="3" name="Picture 2">
          <a:extLst>
            <a:ext uri="{FF2B5EF4-FFF2-40B4-BE49-F238E27FC236}">
              <a16:creationId xmlns:a16="http://schemas.microsoft.com/office/drawing/2014/main" id="{EC6D9B4D-8CC9-064A-9D77-B020D0AE8AF7}"/>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76500" y="203200"/>
          <a:ext cx="203200" cy="17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39</xdr:row>
      <xdr:rowOff>25400</xdr:rowOff>
    </xdr:from>
    <xdr:to>
      <xdr:col>10</xdr:col>
      <xdr:colOff>296333</xdr:colOff>
      <xdr:row>72</xdr:row>
      <xdr:rowOff>106453</xdr:rowOff>
    </xdr:to>
    <xdr:grpSp>
      <xdr:nvGrpSpPr>
        <xdr:cNvPr id="4" name="Group 3">
          <a:extLst>
            <a:ext uri="{FF2B5EF4-FFF2-40B4-BE49-F238E27FC236}">
              <a16:creationId xmlns:a16="http://schemas.microsoft.com/office/drawing/2014/main" id="{22C683DC-FE88-1C4A-BA07-91B2A2DCADE0}"/>
            </a:ext>
          </a:extLst>
        </xdr:cNvPr>
        <xdr:cNvGrpSpPr/>
      </xdr:nvGrpSpPr>
      <xdr:grpSpPr>
        <a:xfrm>
          <a:off x="825500" y="7975600"/>
          <a:ext cx="7725833" cy="6786653"/>
          <a:chOff x="8279837" y="7253902"/>
          <a:chExt cx="6630904" cy="6786653"/>
        </a:xfrm>
      </xdr:grpSpPr>
      <xdr:graphicFrame macro="">
        <xdr:nvGraphicFramePr>
          <xdr:cNvPr id="5" name="Chart 4">
            <a:extLst>
              <a:ext uri="{FF2B5EF4-FFF2-40B4-BE49-F238E27FC236}">
                <a16:creationId xmlns:a16="http://schemas.microsoft.com/office/drawing/2014/main" id="{11EA01D3-D057-7E75-7701-4170335DF6CC}"/>
              </a:ext>
            </a:extLst>
          </xdr:cNvPr>
          <xdr:cNvGraphicFramePr>
            <a:graphicFrameLocks/>
          </xdr:cNvGraphicFramePr>
        </xdr:nvGraphicFramePr>
        <xdr:xfrm>
          <a:off x="8279837" y="7253902"/>
          <a:ext cx="6630904" cy="6786653"/>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BF3503B-91DE-A862-1986-DBAC4C53E9D7}"/>
                  </a:ext>
                </a:extLst>
              </xdr:cNvPr>
              <xdr:cNvSpPr txBox="1"/>
            </xdr:nvSpPr>
            <xdr:spPr>
              <a:xfrm>
                <a:off x="9702238" y="13074264"/>
                <a:ext cx="4610301" cy="288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aseline="0"/>
                  <a:t>Observed: Usk Hydrometric Station  </a:t>
                </a:r>
                <a14:m>
                  <m:oMath xmlns:m="http://schemas.openxmlformats.org/officeDocument/2006/math">
                    <m:acc>
                      <m:accPr>
                        <m:chr m:val="̅"/>
                        <m:ctrlPr>
                          <a:rPr lang="en-US" sz="1800" i="1" baseline="0">
                            <a:latin typeface="Cambria Math" panose="02040503050406030204" pitchFamily="18" charset="0"/>
                          </a:rPr>
                        </m:ctrlPr>
                      </m:accPr>
                      <m:e>
                        <m:sSub>
                          <m:sSubPr>
                            <m:ctrlPr>
                              <a:rPr lang="en-US" sz="1800" i="1" baseline="0">
                                <a:latin typeface="Cambria Math" panose="02040503050406030204" pitchFamily="18" charset="0"/>
                              </a:rPr>
                            </m:ctrlPr>
                          </m:sSubPr>
                          <m:e>
                            <m:r>
                              <a:rPr lang="en-US" sz="1800" b="0" i="1" baseline="0">
                                <a:latin typeface="Cambria Math" panose="02040503050406030204" pitchFamily="18" charset="0"/>
                              </a:rPr>
                              <m:t>𝑄</m:t>
                            </m:r>
                          </m:e>
                          <m:sub>
                            <m:r>
                              <a:rPr lang="en-US" sz="1800" b="0" i="1" baseline="0">
                                <a:latin typeface="Cambria Math" panose="02040503050406030204" pitchFamily="18" charset="0"/>
                              </a:rPr>
                              <m:t>𝑚</m:t>
                            </m:r>
                          </m:sub>
                        </m:sSub>
                      </m:e>
                    </m:acc>
                    <m:r>
                      <a:rPr lang="en-US" sz="1800" b="0" i="1" baseline="0">
                        <a:latin typeface="Cambria Math" panose="02040503050406030204" pitchFamily="18" charset="0"/>
                      </a:rPr>
                      <m:t> (</m:t>
                    </m:r>
                    <m:sSup>
                      <m:sSupPr>
                        <m:ctrlPr>
                          <a:rPr lang="en-US" sz="1800" b="0" i="1" baseline="0">
                            <a:latin typeface="Cambria Math" panose="02040503050406030204" pitchFamily="18" charset="0"/>
                          </a:rPr>
                        </m:ctrlPr>
                      </m:sSupPr>
                      <m:e>
                        <m:r>
                          <a:rPr lang="en-US" sz="1800" b="0" i="1" baseline="0">
                            <a:latin typeface="Cambria Math" panose="02040503050406030204" pitchFamily="18" charset="0"/>
                          </a:rPr>
                          <m:t>𝑚</m:t>
                        </m:r>
                      </m:e>
                      <m:sup>
                        <m:r>
                          <a:rPr lang="en-US" sz="1800" b="0" i="1" baseline="0">
                            <a:latin typeface="Cambria Math" panose="02040503050406030204" pitchFamily="18" charset="0"/>
                          </a:rPr>
                          <m:t>3</m:t>
                        </m:r>
                      </m:sup>
                    </m:sSup>
                    <m:sSup>
                      <m:sSupPr>
                        <m:ctrlPr>
                          <a:rPr lang="en-US" sz="1800" b="0" i="1" baseline="0">
                            <a:latin typeface="Cambria Math" panose="02040503050406030204" pitchFamily="18" charset="0"/>
                          </a:rPr>
                        </m:ctrlPr>
                      </m:sSupPr>
                      <m:e>
                        <m:r>
                          <a:rPr lang="en-US" sz="1800" b="0" i="1" baseline="0">
                            <a:latin typeface="Cambria Math" panose="02040503050406030204" pitchFamily="18" charset="0"/>
                          </a:rPr>
                          <m:t>𝑠</m:t>
                        </m:r>
                      </m:e>
                      <m:sup>
                        <m:r>
                          <a:rPr lang="en-US" sz="1800" b="0" i="1" baseline="0">
                            <a:latin typeface="Cambria Math" panose="02040503050406030204" pitchFamily="18" charset="0"/>
                          </a:rPr>
                          <m:t>−1</m:t>
                        </m:r>
                      </m:sup>
                    </m:sSup>
                    <m:r>
                      <a:rPr lang="en-US" sz="1800" b="0" i="1" baseline="0">
                        <a:latin typeface="Cambria Math" panose="02040503050406030204" pitchFamily="18" charset="0"/>
                      </a:rPr>
                      <m:t>)</m:t>
                    </m:r>
                  </m:oMath>
                </a14:m>
                <a:endParaRPr lang="en-US" sz="1800"/>
              </a:p>
            </xdr:txBody>
          </xdr:sp>
        </mc:Choice>
        <mc:Fallback xmlns="">
          <xdr:sp macro="" textlink="">
            <xdr:nvSpPr>
              <xdr:cNvPr id="6" name="TextBox 5">
                <a:extLst>
                  <a:ext uri="{FF2B5EF4-FFF2-40B4-BE49-F238E27FC236}">
                    <a16:creationId xmlns:a16="http://schemas.microsoft.com/office/drawing/2014/main" id="{4BF3503B-91DE-A862-1986-DBAC4C53E9D7}"/>
                  </a:ext>
                </a:extLst>
              </xdr:cNvPr>
              <xdr:cNvSpPr txBox="1"/>
            </xdr:nvSpPr>
            <xdr:spPr>
              <a:xfrm>
                <a:off x="9702238" y="13074264"/>
                <a:ext cx="4610301" cy="288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aseline="0"/>
                  <a:t>Observed: Usk Hydrometric Station  </a:t>
                </a:r>
                <a:r>
                  <a:rPr lang="en-US" sz="1800" i="0" baseline="0">
                    <a:latin typeface="Cambria Math" panose="02040503050406030204" pitchFamily="18" charset="0"/>
                  </a:rPr>
                  <a:t>(</a:t>
                </a:r>
                <a:r>
                  <a:rPr lang="en-US" sz="1800" b="0" i="0" baseline="0">
                    <a:latin typeface="Cambria Math" panose="02040503050406030204" pitchFamily="18" charset="0"/>
                  </a:rPr>
                  <a:t>𝑄_𝑚 ) ̅  (𝑚^3 𝑠^(−1))</a:t>
                </a:r>
                <a:endParaRPr lang="en-US" sz="1800"/>
              </a:p>
            </xdr:txBody>
          </xdr:sp>
        </mc:Fallback>
      </mc:AlternateContent>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BCFAEDD5-A89B-CDAD-0895-AFEA2112E4CC}"/>
                  </a:ext>
                </a:extLst>
              </xdr:cNvPr>
              <xdr:cNvSpPr txBox="1"/>
            </xdr:nvSpPr>
            <xdr:spPr>
              <a:xfrm rot="16200000">
                <a:off x="6784503" y="9793902"/>
                <a:ext cx="3474990" cy="288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a:t>Predicted</a:t>
                </a:r>
                <a:r>
                  <a:rPr lang="en-US" sz="1800" baseline="0"/>
                  <a:t>: HydroTrend  </a:t>
                </a:r>
                <a14:m>
                  <m:oMath xmlns:m="http://schemas.openxmlformats.org/officeDocument/2006/math">
                    <m:acc>
                      <m:accPr>
                        <m:chr m:val="̅"/>
                        <m:ctrlPr>
                          <a:rPr lang="en-US" sz="1800" i="1" baseline="0">
                            <a:latin typeface="Cambria Math" panose="02040503050406030204" pitchFamily="18" charset="0"/>
                          </a:rPr>
                        </m:ctrlPr>
                      </m:accPr>
                      <m:e>
                        <m:sSub>
                          <m:sSubPr>
                            <m:ctrlPr>
                              <a:rPr lang="en-US" sz="1800" i="1" baseline="0">
                                <a:latin typeface="Cambria Math" panose="02040503050406030204" pitchFamily="18" charset="0"/>
                              </a:rPr>
                            </m:ctrlPr>
                          </m:sSubPr>
                          <m:e>
                            <m:r>
                              <a:rPr lang="en-US" sz="1800" b="0" i="1" baseline="0">
                                <a:latin typeface="Cambria Math" panose="02040503050406030204" pitchFamily="18" charset="0"/>
                              </a:rPr>
                              <m:t>𝑄</m:t>
                            </m:r>
                          </m:e>
                          <m:sub>
                            <m:r>
                              <a:rPr lang="en-US" sz="1800" b="0" i="1" baseline="0">
                                <a:latin typeface="Cambria Math" panose="02040503050406030204" pitchFamily="18" charset="0"/>
                              </a:rPr>
                              <m:t>𝑚</m:t>
                            </m:r>
                          </m:sub>
                        </m:sSub>
                      </m:e>
                    </m:acc>
                    <m:r>
                      <a:rPr lang="en-US" sz="1800" b="0" i="1" baseline="0">
                        <a:latin typeface="Cambria Math" panose="02040503050406030204" pitchFamily="18" charset="0"/>
                      </a:rPr>
                      <m:t>  (</m:t>
                    </m:r>
                    <m:sSup>
                      <m:sSupPr>
                        <m:ctrlPr>
                          <a:rPr lang="en-US" sz="1800" b="0" i="1" baseline="0">
                            <a:latin typeface="Cambria Math" panose="02040503050406030204" pitchFamily="18" charset="0"/>
                          </a:rPr>
                        </m:ctrlPr>
                      </m:sSupPr>
                      <m:e>
                        <m:r>
                          <a:rPr lang="en-US" sz="1800" b="0" i="1" baseline="0">
                            <a:latin typeface="Cambria Math" panose="02040503050406030204" pitchFamily="18" charset="0"/>
                          </a:rPr>
                          <m:t>𝑚</m:t>
                        </m:r>
                      </m:e>
                      <m:sup>
                        <m:r>
                          <a:rPr lang="en-US" sz="1800" b="0" i="1" baseline="0">
                            <a:latin typeface="Cambria Math" panose="02040503050406030204" pitchFamily="18" charset="0"/>
                          </a:rPr>
                          <m:t>3</m:t>
                        </m:r>
                      </m:sup>
                    </m:sSup>
                    <m:sSup>
                      <m:sSupPr>
                        <m:ctrlPr>
                          <a:rPr lang="en-US" sz="1800" b="0" i="1" baseline="0">
                            <a:latin typeface="Cambria Math" panose="02040503050406030204" pitchFamily="18" charset="0"/>
                          </a:rPr>
                        </m:ctrlPr>
                      </m:sSupPr>
                      <m:e>
                        <m:r>
                          <a:rPr lang="en-US" sz="1800" b="0" i="1" baseline="0">
                            <a:latin typeface="Cambria Math" panose="02040503050406030204" pitchFamily="18" charset="0"/>
                          </a:rPr>
                          <m:t>𝑠</m:t>
                        </m:r>
                      </m:e>
                      <m:sup>
                        <m:r>
                          <a:rPr lang="en-US" sz="1800" b="0" i="1" baseline="0">
                            <a:latin typeface="Cambria Math" panose="02040503050406030204" pitchFamily="18" charset="0"/>
                          </a:rPr>
                          <m:t>−1</m:t>
                        </m:r>
                      </m:sup>
                    </m:sSup>
                    <m:r>
                      <a:rPr lang="en-US" sz="1800" b="0" i="1" baseline="0">
                        <a:latin typeface="Cambria Math" panose="02040503050406030204" pitchFamily="18" charset="0"/>
                      </a:rPr>
                      <m:t>)</m:t>
                    </m:r>
                  </m:oMath>
                </a14:m>
                <a:endParaRPr lang="en-US" sz="1800"/>
              </a:p>
            </xdr:txBody>
          </xdr:sp>
        </mc:Choice>
        <mc:Fallback xmlns="">
          <xdr:sp macro="" textlink="">
            <xdr:nvSpPr>
              <xdr:cNvPr id="7" name="TextBox 6">
                <a:extLst>
                  <a:ext uri="{FF2B5EF4-FFF2-40B4-BE49-F238E27FC236}">
                    <a16:creationId xmlns:a16="http://schemas.microsoft.com/office/drawing/2014/main" id="{BCFAEDD5-A89B-CDAD-0895-AFEA2112E4CC}"/>
                  </a:ext>
                </a:extLst>
              </xdr:cNvPr>
              <xdr:cNvSpPr txBox="1"/>
            </xdr:nvSpPr>
            <xdr:spPr>
              <a:xfrm rot="16200000">
                <a:off x="6784503" y="9793902"/>
                <a:ext cx="3474990" cy="288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a:t>Predicted</a:t>
                </a:r>
                <a:r>
                  <a:rPr lang="en-US" sz="1800" baseline="0"/>
                  <a:t>: HydroTrend  </a:t>
                </a:r>
                <a:r>
                  <a:rPr lang="en-US" sz="1800" i="0" baseline="0">
                    <a:latin typeface="Cambria Math" panose="02040503050406030204" pitchFamily="18" charset="0"/>
                  </a:rPr>
                  <a:t>(</a:t>
                </a:r>
                <a:r>
                  <a:rPr lang="en-US" sz="1800" b="0" i="0" baseline="0">
                    <a:latin typeface="Cambria Math" panose="02040503050406030204" pitchFamily="18" charset="0"/>
                  </a:rPr>
                  <a:t>𝑄_𝑚 ) ̅   (𝑚^3 𝑠^(−1))</a:t>
                </a:r>
                <a:endParaRPr lang="en-US" sz="1800"/>
              </a:p>
            </xdr:txBody>
          </xdr:sp>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228600</xdr:colOff>
      <xdr:row>30</xdr:row>
      <xdr:rowOff>76200</xdr:rowOff>
    </xdr:from>
    <xdr:to>
      <xdr:col>10</xdr:col>
      <xdr:colOff>304800</xdr:colOff>
      <xdr:row>64</xdr:row>
      <xdr:rowOff>157957</xdr:rowOff>
    </xdr:to>
    <xdr:graphicFrame macro="">
      <xdr:nvGraphicFramePr>
        <xdr:cNvPr id="2" name="Chart 1">
          <a:extLst>
            <a:ext uri="{FF2B5EF4-FFF2-40B4-BE49-F238E27FC236}">
              <a16:creationId xmlns:a16="http://schemas.microsoft.com/office/drawing/2014/main" id="{603EFE91-7B37-C443-AA85-616CE3675C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xdr:col>
      <xdr:colOff>546100</xdr:colOff>
      <xdr:row>60</xdr:row>
      <xdr:rowOff>25400</xdr:rowOff>
    </xdr:from>
    <xdr:ext cx="4674613" cy="28681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7A9847B2-9036-464E-B4B9-07754410C01D}"/>
                </a:ext>
              </a:extLst>
            </xdr:cNvPr>
            <xdr:cNvSpPr txBox="1"/>
          </xdr:nvSpPr>
          <xdr:spPr>
            <a:xfrm>
              <a:off x="2197100" y="12039600"/>
              <a:ext cx="4674613" cy="286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aseline="0"/>
                <a:t>Observed: Usk Hydrometric Station  </a:t>
              </a:r>
              <a:r>
                <a:rPr lang="en-US" sz="1800" i="0" baseline="0"/>
                <a:t>SSC</a:t>
              </a:r>
              <a14:m>
                <m:oMath xmlns:m="http://schemas.openxmlformats.org/officeDocument/2006/math">
                  <m:r>
                    <a:rPr lang="en-US" sz="1800" b="0" i="1" baseline="0">
                      <a:latin typeface="Cambria Math" panose="02040503050406030204" pitchFamily="18" charset="0"/>
                    </a:rPr>
                    <m:t> (</m:t>
                  </m:r>
                  <m:r>
                    <a:rPr lang="en-US" sz="1800" b="0" i="1" baseline="0">
                      <a:latin typeface="Cambria Math" panose="02040503050406030204" pitchFamily="18" charset="0"/>
                    </a:rPr>
                    <m:t>𝑘𝑔</m:t>
                  </m:r>
                  <m:sSup>
                    <m:sSupPr>
                      <m:ctrlPr>
                        <a:rPr lang="en-US" sz="1800" b="0" i="1" baseline="0">
                          <a:latin typeface="Cambria Math" panose="02040503050406030204" pitchFamily="18" charset="0"/>
                        </a:rPr>
                      </m:ctrlPr>
                    </m:sSupPr>
                    <m:e>
                      <m:r>
                        <a:rPr lang="en-US" sz="1800" b="0" i="1" baseline="0">
                          <a:latin typeface="Cambria Math" panose="02040503050406030204" pitchFamily="18" charset="0"/>
                        </a:rPr>
                        <m:t>𝑚</m:t>
                      </m:r>
                    </m:e>
                    <m:sup>
                      <m:r>
                        <a:rPr lang="en-US" sz="1800" b="0" i="1" baseline="0">
                          <a:latin typeface="Cambria Math" panose="02040503050406030204" pitchFamily="18" charset="0"/>
                        </a:rPr>
                        <m:t>−3</m:t>
                      </m:r>
                    </m:sup>
                  </m:sSup>
                  <m:r>
                    <a:rPr lang="en-US" sz="1800" b="0" i="1" baseline="0">
                      <a:latin typeface="Cambria Math" panose="02040503050406030204" pitchFamily="18" charset="0"/>
                    </a:rPr>
                    <m:t>)</m:t>
                  </m:r>
                </m:oMath>
              </a14:m>
              <a:endParaRPr lang="en-US" sz="1800"/>
            </a:p>
          </xdr:txBody>
        </xdr:sp>
      </mc:Choice>
      <mc:Fallback xmlns="">
        <xdr:sp macro="" textlink="">
          <xdr:nvSpPr>
            <xdr:cNvPr id="3" name="TextBox 2">
              <a:extLst>
                <a:ext uri="{FF2B5EF4-FFF2-40B4-BE49-F238E27FC236}">
                  <a16:creationId xmlns:a16="http://schemas.microsoft.com/office/drawing/2014/main" id="{7A9847B2-9036-464E-B4B9-07754410C01D}"/>
                </a:ext>
              </a:extLst>
            </xdr:cNvPr>
            <xdr:cNvSpPr txBox="1"/>
          </xdr:nvSpPr>
          <xdr:spPr>
            <a:xfrm>
              <a:off x="2197100" y="12039600"/>
              <a:ext cx="4674613" cy="286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aseline="0"/>
                <a:t>Observed: Usk Hydrometric Station  </a:t>
              </a:r>
              <a:r>
                <a:rPr lang="en-US" sz="1800" i="0" baseline="0"/>
                <a:t>SSC</a:t>
              </a:r>
              <a:r>
                <a:rPr lang="en-US" sz="1800" b="0" i="0" baseline="0">
                  <a:latin typeface="Cambria Math" panose="02040503050406030204" pitchFamily="18" charset="0"/>
                </a:rPr>
                <a:t> (𝑘𝑔𝑚^(−3))</a:t>
              </a:r>
              <a:endParaRPr lang="en-US" sz="1800"/>
            </a:p>
          </xdr:txBody>
        </xdr:sp>
      </mc:Fallback>
    </mc:AlternateContent>
    <xdr:clientData/>
  </xdr:oneCellAnchor>
  <xdr:oneCellAnchor>
    <xdr:from>
      <xdr:col>0</xdr:col>
      <xdr:colOff>406401</xdr:colOff>
      <xdr:row>35</xdr:row>
      <xdr:rowOff>1</xdr:rowOff>
    </xdr:from>
    <xdr:ext cx="286810" cy="3661195"/>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4C054C3B-8B71-8B42-8F56-F3697ADDA11D}"/>
                </a:ext>
              </a:extLst>
            </xdr:cNvPr>
            <xdr:cNvSpPr txBox="1"/>
          </xdr:nvSpPr>
          <xdr:spPr>
            <a:xfrm rot="16200000">
              <a:off x="-1280792" y="8621394"/>
              <a:ext cx="3661195" cy="286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a:t>Predicted</a:t>
              </a:r>
              <a:r>
                <a:rPr lang="en-US" sz="1800" baseline="0"/>
                <a:t>: HydroTrend  </a:t>
              </a:r>
              <a14:m>
                <m:oMath xmlns:m="http://schemas.openxmlformats.org/officeDocument/2006/math">
                  <m:sSub>
                    <m:sSubPr>
                      <m:ctrlPr>
                        <a:rPr lang="en-US" sz="1800" b="0" i="1" baseline="0">
                          <a:latin typeface="Cambria Math" panose="02040503050406030204" pitchFamily="18" charset="0"/>
                        </a:rPr>
                      </m:ctrlPr>
                    </m:sSubPr>
                    <m:e>
                      <m:r>
                        <a:rPr lang="en-US" sz="1800" b="0" i="1" baseline="0">
                          <a:latin typeface="Cambria Math" panose="02040503050406030204" pitchFamily="18" charset="0"/>
                        </a:rPr>
                        <m:t>𝐶𝑠</m:t>
                      </m:r>
                    </m:e>
                    <m:sub>
                      <m:r>
                        <a:rPr lang="en-US" sz="1800" b="0" i="1" baseline="0">
                          <a:latin typeface="Cambria Math" panose="02040503050406030204" pitchFamily="18" charset="0"/>
                        </a:rPr>
                        <m:t>𝑑</m:t>
                      </m:r>
                    </m:sub>
                  </m:sSub>
                  <m:r>
                    <a:rPr lang="en-US" sz="1800" b="0" i="1" baseline="0">
                      <a:latin typeface="Cambria Math" panose="02040503050406030204" pitchFamily="18" charset="0"/>
                    </a:rPr>
                    <m:t>  </m:t>
                  </m:r>
                  <m:d>
                    <m:dPr>
                      <m:ctrlPr>
                        <a:rPr lang="en-US" sz="1800" b="0" i="1" baseline="0">
                          <a:latin typeface="Cambria Math" panose="02040503050406030204" pitchFamily="18" charset="0"/>
                        </a:rPr>
                      </m:ctrlPr>
                    </m:dPr>
                    <m:e>
                      <m:r>
                        <a:rPr lang="en-US" sz="1800" b="0" i="1" baseline="0">
                          <a:latin typeface="Cambria Math" panose="02040503050406030204" pitchFamily="18" charset="0"/>
                        </a:rPr>
                        <m:t>𝑘𝑔</m:t>
                      </m:r>
                      <m:sSup>
                        <m:sSupPr>
                          <m:ctrlPr>
                            <a:rPr lang="en-US" sz="1800" b="0" i="1" baseline="0">
                              <a:latin typeface="Cambria Math" panose="02040503050406030204" pitchFamily="18" charset="0"/>
                            </a:rPr>
                          </m:ctrlPr>
                        </m:sSupPr>
                        <m:e>
                          <m:r>
                            <a:rPr lang="en-US" sz="1800" b="0" i="1" baseline="0">
                              <a:latin typeface="Cambria Math" panose="02040503050406030204" pitchFamily="18" charset="0"/>
                            </a:rPr>
                            <m:t>𝑚</m:t>
                          </m:r>
                        </m:e>
                        <m:sup>
                          <m:r>
                            <a:rPr lang="en-US" sz="1800" b="0" i="1" baseline="0">
                              <a:latin typeface="Cambria Math" panose="02040503050406030204" pitchFamily="18" charset="0"/>
                            </a:rPr>
                            <m:t>−3</m:t>
                          </m:r>
                        </m:sup>
                      </m:sSup>
                    </m:e>
                  </m:d>
                </m:oMath>
              </a14:m>
              <a:endParaRPr lang="en-US" sz="1800"/>
            </a:p>
          </xdr:txBody>
        </xdr:sp>
      </mc:Choice>
      <mc:Fallback xmlns="">
        <xdr:sp macro="" textlink="">
          <xdr:nvSpPr>
            <xdr:cNvPr id="4" name="TextBox 3">
              <a:extLst>
                <a:ext uri="{FF2B5EF4-FFF2-40B4-BE49-F238E27FC236}">
                  <a16:creationId xmlns:a16="http://schemas.microsoft.com/office/drawing/2014/main" id="{4C054C3B-8B71-8B42-8F56-F3697ADDA11D}"/>
                </a:ext>
              </a:extLst>
            </xdr:cNvPr>
            <xdr:cNvSpPr txBox="1"/>
          </xdr:nvSpPr>
          <xdr:spPr>
            <a:xfrm rot="16200000">
              <a:off x="-1280792" y="8621394"/>
              <a:ext cx="3661195" cy="286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a:t>Predicted</a:t>
              </a:r>
              <a:r>
                <a:rPr lang="en-US" sz="1800" baseline="0"/>
                <a:t>: HydroTrend  </a:t>
              </a:r>
              <a:r>
                <a:rPr lang="en-US" sz="1800" b="0" i="0" baseline="0">
                  <a:latin typeface="Cambria Math" panose="02040503050406030204" pitchFamily="18" charset="0"/>
                </a:rPr>
                <a:t>〖𝐶𝑠〗_𝑑   (𝑘𝑔𝑚^(−3) )</a:t>
              </a:r>
              <a:endParaRPr lang="en-US" sz="1800"/>
            </a:p>
          </xdr:txBody>
        </xdr:sp>
      </mc:Fallback>
    </mc:AlternateContent>
    <xdr:clientData/>
  </xdr:oneCellAnchor>
</xdr:wsDr>
</file>

<file path=xl/drawings/drawing3.xml><?xml version="1.0" encoding="utf-8"?>
<c:userShapes xmlns:c="http://schemas.openxmlformats.org/drawingml/2006/chart">
  <cdr:relSizeAnchor xmlns:cdr="http://schemas.openxmlformats.org/drawingml/2006/chartDrawing">
    <cdr:from>
      <cdr:x>0.12977</cdr:x>
      <cdr:y>0.04887</cdr:y>
    </cdr:from>
    <cdr:to>
      <cdr:x>0.4337</cdr:x>
      <cdr:y>0.10104</cdr:y>
    </cdr:to>
    <cdr:sp macro="" textlink="">
      <cdr:nvSpPr>
        <cdr:cNvPr id="2" name="TextBox 7">
          <a:extLst xmlns:a="http://schemas.openxmlformats.org/drawingml/2006/main">
            <a:ext uri="{FF2B5EF4-FFF2-40B4-BE49-F238E27FC236}">
              <a16:creationId xmlns:a16="http://schemas.microsoft.com/office/drawing/2014/main" id="{950DF183-85BF-C85D-BD99-2CC494F6F902}"/>
            </a:ext>
          </a:extLst>
        </cdr:cNvPr>
        <cdr:cNvSpPr txBox="1"/>
      </cdr:nvSpPr>
      <cdr:spPr>
        <a:xfrm xmlns:a="http://schemas.openxmlformats.org/drawingml/2006/main">
          <a:off x="862189" y="333022"/>
          <a:ext cx="2019300" cy="355600"/>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600" i="1">
              <a:solidFill>
                <a:schemeClr val="tx1">
                  <a:lumMod val="65000"/>
                  <a:lumOff val="35000"/>
                </a:schemeClr>
              </a:solidFill>
            </a:rPr>
            <a:t>Model Overprediction</a:t>
          </a:r>
        </a:p>
      </cdr:txBody>
    </cdr:sp>
  </cdr:relSizeAnchor>
  <cdr:relSizeAnchor xmlns:cdr="http://schemas.openxmlformats.org/drawingml/2006/chartDrawing">
    <cdr:from>
      <cdr:x>0.84903</cdr:x>
      <cdr:y>0.49052</cdr:y>
    </cdr:from>
    <cdr:to>
      <cdr:x>0.91375</cdr:x>
      <cdr:y>0.79391</cdr:y>
    </cdr:to>
    <cdr:sp macro="" textlink="">
      <cdr:nvSpPr>
        <cdr:cNvPr id="3" name="TextBox 8">
          <a:extLst xmlns:a="http://schemas.openxmlformats.org/drawingml/2006/main">
            <a:ext uri="{FF2B5EF4-FFF2-40B4-BE49-F238E27FC236}">
              <a16:creationId xmlns:a16="http://schemas.microsoft.com/office/drawing/2014/main" id="{28987396-F98C-2645-A2D8-A1BCE7470BBC}"/>
            </a:ext>
          </a:extLst>
        </cdr:cNvPr>
        <cdr:cNvSpPr txBox="1"/>
      </cdr:nvSpPr>
      <cdr:spPr>
        <a:xfrm xmlns:a="http://schemas.openxmlformats.org/drawingml/2006/main" rot="5400000">
          <a:off x="6282561" y="4219862"/>
          <a:ext cx="2120902" cy="539182"/>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600" i="1">
              <a:solidFill>
                <a:schemeClr val="tx1">
                  <a:lumMod val="65000"/>
                  <a:lumOff val="35000"/>
                </a:schemeClr>
              </a:solidFill>
            </a:rPr>
            <a:t>Model Underprediction</a:t>
          </a:r>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228600</xdr:colOff>
      <xdr:row>34</xdr:row>
      <xdr:rowOff>76200</xdr:rowOff>
    </xdr:from>
    <xdr:to>
      <xdr:col>9</xdr:col>
      <xdr:colOff>527050</xdr:colOff>
      <xdr:row>73</xdr:row>
      <xdr:rowOff>38100</xdr:rowOff>
    </xdr:to>
    <xdr:graphicFrame macro="">
      <xdr:nvGraphicFramePr>
        <xdr:cNvPr id="2" name="Chart 1">
          <a:extLst>
            <a:ext uri="{FF2B5EF4-FFF2-40B4-BE49-F238E27FC236}">
              <a16:creationId xmlns:a16="http://schemas.microsoft.com/office/drawing/2014/main" id="{05AA43ED-5B0B-EA45-B780-4A02F21383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xdr:col>
      <xdr:colOff>450850</xdr:colOff>
      <xdr:row>67</xdr:row>
      <xdr:rowOff>69850</xdr:rowOff>
    </xdr:from>
    <xdr:ext cx="4674613" cy="28681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404C1EB4-50AE-D943-9F79-6052BE5B2944}"/>
                </a:ext>
              </a:extLst>
            </xdr:cNvPr>
            <xdr:cNvSpPr txBox="1"/>
          </xdr:nvSpPr>
          <xdr:spPr>
            <a:xfrm>
              <a:off x="2101850" y="12693650"/>
              <a:ext cx="4674613" cy="286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aseline="0"/>
                <a:t>Observed: Usk Hydrometric Station  </a:t>
              </a:r>
              <a:r>
                <a:rPr lang="en-US" sz="1800" i="0" baseline="0"/>
                <a:t>SSC</a:t>
              </a:r>
              <a14:m>
                <m:oMath xmlns:m="http://schemas.openxmlformats.org/officeDocument/2006/math">
                  <m:r>
                    <a:rPr lang="en-US" sz="1800" b="0" i="1" baseline="0">
                      <a:latin typeface="Cambria Math" panose="02040503050406030204" pitchFamily="18" charset="0"/>
                    </a:rPr>
                    <m:t> (</m:t>
                  </m:r>
                  <m:r>
                    <a:rPr lang="en-US" sz="1800" b="0" i="1" baseline="0">
                      <a:latin typeface="Cambria Math" panose="02040503050406030204" pitchFamily="18" charset="0"/>
                    </a:rPr>
                    <m:t>𝑘𝑔</m:t>
                  </m:r>
                  <m:sSup>
                    <m:sSupPr>
                      <m:ctrlPr>
                        <a:rPr lang="en-US" sz="1800" b="0" i="1" baseline="0">
                          <a:latin typeface="Cambria Math" panose="02040503050406030204" pitchFamily="18" charset="0"/>
                        </a:rPr>
                      </m:ctrlPr>
                    </m:sSupPr>
                    <m:e>
                      <m:r>
                        <a:rPr lang="en-US" sz="1800" b="0" i="1" baseline="0">
                          <a:latin typeface="Cambria Math" panose="02040503050406030204" pitchFamily="18" charset="0"/>
                        </a:rPr>
                        <m:t>𝑚</m:t>
                      </m:r>
                    </m:e>
                    <m:sup>
                      <m:r>
                        <a:rPr lang="en-US" sz="1800" b="0" i="1" baseline="0">
                          <a:latin typeface="Cambria Math" panose="02040503050406030204" pitchFamily="18" charset="0"/>
                        </a:rPr>
                        <m:t>−3</m:t>
                      </m:r>
                    </m:sup>
                  </m:sSup>
                  <m:r>
                    <a:rPr lang="en-US" sz="1800" b="0" i="1" baseline="0">
                      <a:latin typeface="Cambria Math" panose="02040503050406030204" pitchFamily="18" charset="0"/>
                    </a:rPr>
                    <m:t>)</m:t>
                  </m:r>
                </m:oMath>
              </a14:m>
              <a:endParaRPr lang="en-US" sz="1800"/>
            </a:p>
          </xdr:txBody>
        </xdr:sp>
      </mc:Choice>
      <mc:Fallback xmlns="">
        <xdr:sp macro="" textlink="">
          <xdr:nvSpPr>
            <xdr:cNvPr id="3" name="TextBox 2">
              <a:extLst>
                <a:ext uri="{FF2B5EF4-FFF2-40B4-BE49-F238E27FC236}">
                  <a16:creationId xmlns:a16="http://schemas.microsoft.com/office/drawing/2014/main" id="{404C1EB4-50AE-D943-9F79-6052BE5B2944}"/>
                </a:ext>
              </a:extLst>
            </xdr:cNvPr>
            <xdr:cNvSpPr txBox="1"/>
          </xdr:nvSpPr>
          <xdr:spPr>
            <a:xfrm>
              <a:off x="2101850" y="12693650"/>
              <a:ext cx="4674613" cy="286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aseline="0"/>
                <a:t>Observed: Usk Hydrometric Station  </a:t>
              </a:r>
              <a:r>
                <a:rPr lang="en-US" sz="1800" i="0" baseline="0"/>
                <a:t>SSC</a:t>
              </a:r>
              <a:r>
                <a:rPr lang="en-US" sz="1800" b="0" i="0" baseline="0">
                  <a:latin typeface="Cambria Math" panose="02040503050406030204" pitchFamily="18" charset="0"/>
                </a:rPr>
                <a:t> (𝑘𝑔𝑚^(−3))</a:t>
              </a:r>
              <a:endParaRPr lang="en-US" sz="1800"/>
            </a:p>
          </xdr:txBody>
        </xdr:sp>
      </mc:Fallback>
    </mc:AlternateContent>
    <xdr:clientData/>
  </xdr:oneCellAnchor>
  <xdr:oneCellAnchor>
    <xdr:from>
      <xdr:col>0</xdr:col>
      <xdr:colOff>406401</xdr:colOff>
      <xdr:row>39</xdr:row>
      <xdr:rowOff>1</xdr:rowOff>
    </xdr:from>
    <xdr:ext cx="286810" cy="3661195"/>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EA27798D-C9EE-814E-A79A-D9849381277B}"/>
                </a:ext>
              </a:extLst>
            </xdr:cNvPr>
            <xdr:cNvSpPr txBox="1"/>
          </xdr:nvSpPr>
          <xdr:spPr>
            <a:xfrm rot="16200000">
              <a:off x="-1280792" y="8621394"/>
              <a:ext cx="3661195" cy="286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a:t>Predicted</a:t>
              </a:r>
              <a:r>
                <a:rPr lang="en-US" sz="1800" baseline="0"/>
                <a:t>: HydroTrend  </a:t>
              </a:r>
              <a14:m>
                <m:oMath xmlns:m="http://schemas.openxmlformats.org/officeDocument/2006/math">
                  <m:sSub>
                    <m:sSubPr>
                      <m:ctrlPr>
                        <a:rPr lang="en-US" sz="1800" b="0" i="1" baseline="0">
                          <a:latin typeface="Cambria Math" panose="02040503050406030204" pitchFamily="18" charset="0"/>
                        </a:rPr>
                      </m:ctrlPr>
                    </m:sSubPr>
                    <m:e>
                      <m:r>
                        <a:rPr lang="en-US" sz="1800" b="0" i="1" baseline="0">
                          <a:latin typeface="Cambria Math" panose="02040503050406030204" pitchFamily="18" charset="0"/>
                        </a:rPr>
                        <m:t>𝐶𝑠</m:t>
                      </m:r>
                    </m:e>
                    <m:sub>
                      <m:r>
                        <a:rPr lang="en-US" sz="1800" b="0" i="1" baseline="0">
                          <a:latin typeface="Cambria Math" panose="02040503050406030204" pitchFamily="18" charset="0"/>
                        </a:rPr>
                        <m:t>𝑑</m:t>
                      </m:r>
                    </m:sub>
                  </m:sSub>
                  <m:r>
                    <a:rPr lang="en-US" sz="1800" b="0" i="1" baseline="0">
                      <a:latin typeface="Cambria Math" panose="02040503050406030204" pitchFamily="18" charset="0"/>
                    </a:rPr>
                    <m:t>  </m:t>
                  </m:r>
                  <m:d>
                    <m:dPr>
                      <m:ctrlPr>
                        <a:rPr lang="en-US" sz="1800" b="0" i="1" baseline="0">
                          <a:latin typeface="Cambria Math" panose="02040503050406030204" pitchFamily="18" charset="0"/>
                        </a:rPr>
                      </m:ctrlPr>
                    </m:dPr>
                    <m:e>
                      <m:r>
                        <a:rPr lang="en-US" sz="1800" b="0" i="1" baseline="0">
                          <a:latin typeface="Cambria Math" panose="02040503050406030204" pitchFamily="18" charset="0"/>
                        </a:rPr>
                        <m:t>𝑘𝑔</m:t>
                      </m:r>
                      <m:sSup>
                        <m:sSupPr>
                          <m:ctrlPr>
                            <a:rPr lang="en-US" sz="1800" b="0" i="1" baseline="0">
                              <a:latin typeface="Cambria Math" panose="02040503050406030204" pitchFamily="18" charset="0"/>
                            </a:rPr>
                          </m:ctrlPr>
                        </m:sSupPr>
                        <m:e>
                          <m:r>
                            <a:rPr lang="en-US" sz="1800" b="0" i="1" baseline="0">
                              <a:latin typeface="Cambria Math" panose="02040503050406030204" pitchFamily="18" charset="0"/>
                            </a:rPr>
                            <m:t>𝑚</m:t>
                          </m:r>
                        </m:e>
                        <m:sup>
                          <m:r>
                            <a:rPr lang="en-US" sz="1800" b="0" i="1" baseline="0">
                              <a:latin typeface="Cambria Math" panose="02040503050406030204" pitchFamily="18" charset="0"/>
                            </a:rPr>
                            <m:t>−3</m:t>
                          </m:r>
                        </m:sup>
                      </m:sSup>
                    </m:e>
                  </m:d>
                </m:oMath>
              </a14:m>
              <a:endParaRPr lang="en-US" sz="1800"/>
            </a:p>
          </xdr:txBody>
        </xdr:sp>
      </mc:Choice>
      <mc:Fallback xmlns="">
        <xdr:sp macro="" textlink="">
          <xdr:nvSpPr>
            <xdr:cNvPr id="4" name="TextBox 3">
              <a:extLst>
                <a:ext uri="{FF2B5EF4-FFF2-40B4-BE49-F238E27FC236}">
                  <a16:creationId xmlns:a16="http://schemas.microsoft.com/office/drawing/2014/main" id="{EA27798D-C9EE-814E-A79A-D9849381277B}"/>
                </a:ext>
              </a:extLst>
            </xdr:cNvPr>
            <xdr:cNvSpPr txBox="1"/>
          </xdr:nvSpPr>
          <xdr:spPr>
            <a:xfrm rot="16200000">
              <a:off x="-1280792" y="8621394"/>
              <a:ext cx="3661195" cy="286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a:t>Predicted</a:t>
              </a:r>
              <a:r>
                <a:rPr lang="en-US" sz="1800" baseline="0"/>
                <a:t>: HydroTrend  </a:t>
              </a:r>
              <a:r>
                <a:rPr lang="en-US" sz="1800" b="0" i="0" baseline="0">
                  <a:latin typeface="Cambria Math" panose="02040503050406030204" pitchFamily="18" charset="0"/>
                </a:rPr>
                <a:t>〖𝐶𝑠〗_𝑑   (𝑘𝑔𝑚^(−3) )</a:t>
              </a:r>
              <a:endParaRPr lang="en-US" sz="1800"/>
            </a:p>
          </xdr:txBody>
        </xdr:sp>
      </mc:Fallback>
    </mc:AlternateContent>
    <xdr:clientData/>
  </xdr:oneCellAnchor>
</xdr:wsDr>
</file>

<file path=xl/drawings/drawing5.xml><?xml version="1.0" encoding="utf-8"?>
<c:userShapes xmlns:c="http://schemas.openxmlformats.org/drawingml/2006/chart">
  <cdr:relSizeAnchor xmlns:cdr="http://schemas.openxmlformats.org/drawingml/2006/chartDrawing">
    <cdr:from>
      <cdr:x>0.12977</cdr:x>
      <cdr:y>0.04887</cdr:y>
    </cdr:from>
    <cdr:to>
      <cdr:x>0.4337</cdr:x>
      <cdr:y>0.10104</cdr:y>
    </cdr:to>
    <cdr:sp macro="" textlink="">
      <cdr:nvSpPr>
        <cdr:cNvPr id="2" name="TextBox 7">
          <a:extLst xmlns:a="http://schemas.openxmlformats.org/drawingml/2006/main">
            <a:ext uri="{FF2B5EF4-FFF2-40B4-BE49-F238E27FC236}">
              <a16:creationId xmlns:a16="http://schemas.microsoft.com/office/drawing/2014/main" id="{950DF183-85BF-C85D-BD99-2CC494F6F902}"/>
            </a:ext>
          </a:extLst>
        </cdr:cNvPr>
        <cdr:cNvSpPr txBox="1"/>
      </cdr:nvSpPr>
      <cdr:spPr>
        <a:xfrm xmlns:a="http://schemas.openxmlformats.org/drawingml/2006/main">
          <a:off x="862189" y="333022"/>
          <a:ext cx="2019300" cy="355600"/>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600" i="1">
              <a:solidFill>
                <a:schemeClr val="tx1">
                  <a:lumMod val="65000"/>
                  <a:lumOff val="35000"/>
                </a:schemeClr>
              </a:solidFill>
            </a:rPr>
            <a:t>Model Overprediction</a:t>
          </a:r>
        </a:p>
      </cdr:txBody>
    </cdr:sp>
  </cdr:relSizeAnchor>
  <cdr:relSizeAnchor xmlns:cdr="http://schemas.openxmlformats.org/drawingml/2006/chartDrawing">
    <cdr:from>
      <cdr:x>0.84903</cdr:x>
      <cdr:y>0.49052</cdr:y>
    </cdr:from>
    <cdr:to>
      <cdr:x>0.91375</cdr:x>
      <cdr:y>0.79391</cdr:y>
    </cdr:to>
    <cdr:sp macro="" textlink="">
      <cdr:nvSpPr>
        <cdr:cNvPr id="3" name="TextBox 8">
          <a:extLst xmlns:a="http://schemas.openxmlformats.org/drawingml/2006/main">
            <a:ext uri="{FF2B5EF4-FFF2-40B4-BE49-F238E27FC236}">
              <a16:creationId xmlns:a16="http://schemas.microsoft.com/office/drawing/2014/main" id="{28987396-F98C-2645-A2D8-A1BCE7470BBC}"/>
            </a:ext>
          </a:extLst>
        </cdr:cNvPr>
        <cdr:cNvSpPr txBox="1"/>
      </cdr:nvSpPr>
      <cdr:spPr>
        <a:xfrm xmlns:a="http://schemas.openxmlformats.org/drawingml/2006/main" rot="5400000">
          <a:off x="6282561" y="4219862"/>
          <a:ext cx="2120902" cy="539182"/>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600" i="1">
              <a:solidFill>
                <a:schemeClr val="tx1">
                  <a:lumMod val="65000"/>
                  <a:lumOff val="35000"/>
                </a:schemeClr>
              </a:solidFill>
            </a:rPr>
            <a:t>Model Underprediction</a:t>
          </a:r>
        </a:p>
      </cdr:txBody>
    </cdr:sp>
  </cdr:relSizeAnchor>
</c:userShapes>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6557D-18DE-0144-9C91-27E19EA46154}">
  <dimension ref="A1:B9"/>
  <sheetViews>
    <sheetView workbookViewId="0">
      <selection activeCell="D16" sqref="D16"/>
    </sheetView>
  </sheetViews>
  <sheetFormatPr baseColWidth="10" defaultRowHeight="16" x14ac:dyDescent="0.2"/>
  <sheetData>
    <row r="1" spans="1:2" x14ac:dyDescent="0.2">
      <c r="A1" t="s">
        <v>93</v>
      </c>
      <c r="B1" t="s">
        <v>92</v>
      </c>
    </row>
    <row r="2" spans="1:2" x14ac:dyDescent="0.2">
      <c r="B2" t="s">
        <v>94</v>
      </c>
    </row>
    <row r="5" spans="1:2" x14ac:dyDescent="0.2">
      <c r="A5" t="s">
        <v>117</v>
      </c>
    </row>
    <row r="6" spans="1:2" x14ac:dyDescent="0.2">
      <c r="A6" t="s">
        <v>118</v>
      </c>
      <c r="B6" t="s">
        <v>121</v>
      </c>
    </row>
    <row r="7" spans="1:2" x14ac:dyDescent="0.2">
      <c r="A7" t="s">
        <v>119</v>
      </c>
      <c r="B7" t="s">
        <v>120</v>
      </c>
    </row>
    <row r="8" spans="1:2" x14ac:dyDescent="0.2">
      <c r="A8" t="s">
        <v>122</v>
      </c>
      <c r="B8" t="s">
        <v>123</v>
      </c>
    </row>
    <row r="9" spans="1:2" x14ac:dyDescent="0.2">
      <c r="A9" t="s">
        <v>125</v>
      </c>
      <c r="B9" t="s">
        <v>124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CC5DB-528F-2F45-90DB-8FE809506AEA}">
  <dimension ref="A1:O30"/>
  <sheetViews>
    <sheetView topLeftCell="A9" zoomScaleNormal="150" workbookViewId="0"/>
  </sheetViews>
  <sheetFormatPr baseColWidth="10" defaultRowHeight="16" x14ac:dyDescent="0.2"/>
  <sheetData>
    <row r="1" spans="1:14" x14ac:dyDescent="0.2">
      <c r="A1" t="s">
        <v>95</v>
      </c>
    </row>
    <row r="2" spans="1:14" x14ac:dyDescent="0.2">
      <c r="C2" t="s">
        <v>25</v>
      </c>
      <c r="D2" t="s">
        <v>25</v>
      </c>
      <c r="F2" t="s">
        <v>79</v>
      </c>
      <c r="G2" t="s">
        <v>55</v>
      </c>
      <c r="J2" t="s">
        <v>50</v>
      </c>
      <c r="L2" t="s">
        <v>51</v>
      </c>
      <c r="N2" t="s">
        <v>52</v>
      </c>
    </row>
    <row r="3" spans="1:14" x14ac:dyDescent="0.2">
      <c r="B3" t="s">
        <v>26</v>
      </c>
      <c r="C3" s="1">
        <v>195.5</v>
      </c>
      <c r="D3" s="1">
        <v>195.5</v>
      </c>
      <c r="F3">
        <v>166.88606666666701</v>
      </c>
      <c r="G3">
        <v>166.88606666666701</v>
      </c>
      <c r="H3" s="1"/>
      <c r="J3">
        <v>166.91443333333299</v>
      </c>
      <c r="L3">
        <v>167.028766666667</v>
      </c>
      <c r="N3">
        <v>166.986966666667</v>
      </c>
    </row>
    <row r="4" spans="1:14" x14ac:dyDescent="0.2">
      <c r="B4" t="s">
        <v>27</v>
      </c>
      <c r="C4" s="1">
        <v>170.96333333333331</v>
      </c>
      <c r="D4" s="1">
        <v>170.96333333333331</v>
      </c>
      <c r="F4">
        <v>164.41443333333299</v>
      </c>
      <c r="G4">
        <v>164.41443333333299</v>
      </c>
      <c r="H4" s="1"/>
      <c r="J4">
        <v>163.92906666666701</v>
      </c>
      <c r="L4">
        <v>164.46866666666699</v>
      </c>
      <c r="N4">
        <v>164.04323333333301</v>
      </c>
    </row>
    <row r="5" spans="1:14" x14ac:dyDescent="0.2">
      <c r="B5" t="s">
        <v>28</v>
      </c>
      <c r="C5">
        <v>191.8</v>
      </c>
      <c r="D5">
        <v>191.8</v>
      </c>
      <c r="F5">
        <v>199.41370000000001</v>
      </c>
      <c r="G5">
        <v>199.41370000000001</v>
      </c>
      <c r="H5" s="1"/>
      <c r="J5">
        <v>164.963666666667</v>
      </c>
      <c r="L5">
        <v>169.48849999999999</v>
      </c>
      <c r="N5">
        <v>165.865833333333</v>
      </c>
    </row>
    <row r="6" spans="1:14" x14ac:dyDescent="0.2">
      <c r="B6" t="s">
        <v>29</v>
      </c>
      <c r="C6">
        <v>523.20000000000005</v>
      </c>
      <c r="D6">
        <v>523.20000000000005</v>
      </c>
      <c r="F6">
        <v>1179.17243333333</v>
      </c>
      <c r="G6">
        <v>1179.17243333333</v>
      </c>
      <c r="H6" s="1"/>
      <c r="J6">
        <v>252.31993333333301</v>
      </c>
      <c r="L6">
        <v>399.84030000000001</v>
      </c>
      <c r="N6">
        <v>423.10853333333301</v>
      </c>
    </row>
    <row r="7" spans="1:14" x14ac:dyDescent="0.2">
      <c r="B7" t="s">
        <v>30</v>
      </c>
      <c r="C7">
        <v>2022.3333333333333</v>
      </c>
      <c r="D7">
        <v>2022.3333333333333</v>
      </c>
      <c r="F7">
        <v>2826.18</v>
      </c>
      <c r="G7">
        <v>2826.18</v>
      </c>
      <c r="H7" s="1"/>
      <c r="J7">
        <v>3107.6129999999998</v>
      </c>
      <c r="L7">
        <v>2822.0464666666699</v>
      </c>
      <c r="N7">
        <v>2373.8696</v>
      </c>
    </row>
    <row r="8" spans="1:14" x14ac:dyDescent="0.2">
      <c r="B8" t="s">
        <v>31</v>
      </c>
      <c r="C8">
        <v>2857.6666666666665</v>
      </c>
      <c r="D8">
        <v>2857.6666666666665</v>
      </c>
      <c r="F8">
        <v>2180.7391333333298</v>
      </c>
      <c r="G8">
        <v>2180.7391333333298</v>
      </c>
      <c r="H8" s="1"/>
      <c r="J8">
        <v>3592.6907000000001</v>
      </c>
      <c r="L8">
        <v>4619.6767666666701</v>
      </c>
      <c r="N8">
        <v>4887.6472666666696</v>
      </c>
    </row>
    <row r="9" spans="1:14" x14ac:dyDescent="0.2">
      <c r="B9" t="s">
        <v>32</v>
      </c>
      <c r="C9">
        <v>1677.9333333333334</v>
      </c>
      <c r="D9">
        <v>1677.9333333333334</v>
      </c>
      <c r="F9">
        <v>1177.4478666666701</v>
      </c>
      <c r="G9">
        <v>1177.4478666666701</v>
      </c>
      <c r="H9" s="1"/>
      <c r="J9">
        <v>2343.8710999999998</v>
      </c>
      <c r="L9">
        <v>2651.54743333333</v>
      </c>
      <c r="N9">
        <v>3225.3245999999999</v>
      </c>
    </row>
    <row r="10" spans="1:14" x14ac:dyDescent="0.2">
      <c r="B10" t="s">
        <v>33</v>
      </c>
      <c r="C10">
        <v>873.9666666666667</v>
      </c>
      <c r="D10">
        <v>873.9666666666667</v>
      </c>
      <c r="F10">
        <v>908.84286666666696</v>
      </c>
      <c r="G10">
        <v>908.84286666666696</v>
      </c>
      <c r="H10" s="1"/>
      <c r="J10">
        <v>1988.6065000000001</v>
      </c>
      <c r="L10">
        <v>1608.7379000000001</v>
      </c>
      <c r="N10">
        <v>2314.8960333333298</v>
      </c>
    </row>
    <row r="11" spans="1:14" x14ac:dyDescent="0.2">
      <c r="B11" t="s">
        <v>34</v>
      </c>
      <c r="C11">
        <v>772.83333333333337</v>
      </c>
      <c r="D11">
        <v>772.83333333333337</v>
      </c>
      <c r="F11">
        <v>1023.14536666667</v>
      </c>
      <c r="G11">
        <v>1023.14536666667</v>
      </c>
      <c r="H11" s="1"/>
      <c r="J11">
        <v>1247.25043333333</v>
      </c>
      <c r="L11">
        <v>1232.1845333333299</v>
      </c>
      <c r="N11">
        <v>1610.4048</v>
      </c>
    </row>
    <row r="12" spans="1:14" x14ac:dyDescent="0.2">
      <c r="B12" t="s">
        <v>35</v>
      </c>
      <c r="C12">
        <v>795.73333333333335</v>
      </c>
      <c r="D12">
        <v>795.73333333333335</v>
      </c>
      <c r="F12">
        <v>721.41856666666695</v>
      </c>
      <c r="G12">
        <v>721.41856666666695</v>
      </c>
      <c r="H12" s="1"/>
      <c r="J12">
        <v>540.26250000000005</v>
      </c>
      <c r="L12">
        <v>602.60923333333301</v>
      </c>
      <c r="N12">
        <v>705.117166666667</v>
      </c>
    </row>
    <row r="13" spans="1:14" x14ac:dyDescent="0.2">
      <c r="B13" t="s">
        <v>36</v>
      </c>
      <c r="C13">
        <v>483</v>
      </c>
      <c r="D13">
        <v>483</v>
      </c>
      <c r="F13">
        <v>188.08973333333299</v>
      </c>
      <c r="G13">
        <v>188.08973333333299</v>
      </c>
      <c r="H13" s="1"/>
      <c r="J13">
        <v>171.02783333333301</v>
      </c>
      <c r="L13">
        <v>170.41829999999999</v>
      </c>
      <c r="N13">
        <v>167.24996666666701</v>
      </c>
    </row>
    <row r="14" spans="1:14" x14ac:dyDescent="0.2">
      <c r="B14" t="s">
        <v>37</v>
      </c>
      <c r="C14">
        <v>250</v>
      </c>
      <c r="D14">
        <v>250</v>
      </c>
      <c r="F14">
        <v>164.66946666666701</v>
      </c>
      <c r="G14">
        <v>164.66946666666701</v>
      </c>
      <c r="H14" s="1"/>
      <c r="J14">
        <v>164.521533333333</v>
      </c>
      <c r="L14">
        <v>164.51843333333301</v>
      </c>
      <c r="N14">
        <v>164.516066666667</v>
      </c>
    </row>
    <row r="15" spans="1:14" x14ac:dyDescent="0.2">
      <c r="E15" t="s">
        <v>38</v>
      </c>
      <c r="K15" t="s">
        <v>38</v>
      </c>
      <c r="M15" t="s">
        <v>38</v>
      </c>
    </row>
    <row r="16" spans="1:14" ht="17" thickBot="1" x14ac:dyDescent="0.25">
      <c r="H16" s="1"/>
    </row>
    <row r="17" spans="3:15" x14ac:dyDescent="0.2">
      <c r="C17" s="3" t="s">
        <v>25</v>
      </c>
      <c r="E17" s="3"/>
      <c r="F17" s="3"/>
      <c r="G17" s="3" t="s">
        <v>49</v>
      </c>
      <c r="H17" s="3"/>
      <c r="I17" s="3"/>
      <c r="J17" s="3" t="s">
        <v>50</v>
      </c>
      <c r="K17" s="3"/>
      <c r="L17" s="3" t="s">
        <v>51</v>
      </c>
      <c r="M17" s="3"/>
      <c r="N17" s="3" t="s">
        <v>52</v>
      </c>
      <c r="O17" s="3" t="s">
        <v>25</v>
      </c>
    </row>
    <row r="18" spans="3:15" x14ac:dyDescent="0.2">
      <c r="C18">
        <v>901.24416666666673</v>
      </c>
      <c r="E18" t="s">
        <v>39</v>
      </c>
      <c r="G18">
        <v>908.36830277777779</v>
      </c>
      <c r="H18" t="s">
        <v>39</v>
      </c>
      <c r="J18">
        <v>1158.6642249999998</v>
      </c>
      <c r="K18" t="s">
        <v>39</v>
      </c>
      <c r="L18">
        <v>1231.0471083333332</v>
      </c>
      <c r="M18" t="s">
        <v>39</v>
      </c>
      <c r="N18">
        <v>1364.0858388888889</v>
      </c>
      <c r="O18">
        <v>901.24416666666673</v>
      </c>
    </row>
    <row r="19" spans="3:15" x14ac:dyDescent="0.2">
      <c r="C19">
        <v>726609.3099335857</v>
      </c>
      <c r="E19" t="s">
        <v>40</v>
      </c>
      <c r="G19">
        <v>742596.47275280871</v>
      </c>
      <c r="H19" t="s">
        <v>40</v>
      </c>
      <c r="J19">
        <v>1632035.0661315336</v>
      </c>
      <c r="K19" t="s">
        <v>40</v>
      </c>
      <c r="L19">
        <v>2083586.3461727046</v>
      </c>
      <c r="M19" t="s">
        <v>40</v>
      </c>
      <c r="N19">
        <v>2396728.3684179815</v>
      </c>
      <c r="O19">
        <v>726609.3099335857</v>
      </c>
    </row>
    <row r="20" spans="3:15" x14ac:dyDescent="0.2">
      <c r="C20">
        <v>12</v>
      </c>
      <c r="E20" t="s">
        <v>41</v>
      </c>
      <c r="G20">
        <v>12</v>
      </c>
      <c r="H20" t="s">
        <v>41</v>
      </c>
      <c r="J20">
        <v>12</v>
      </c>
      <c r="K20" t="s">
        <v>41</v>
      </c>
      <c r="L20">
        <v>12</v>
      </c>
      <c r="M20" t="s">
        <v>41</v>
      </c>
      <c r="N20">
        <v>12</v>
      </c>
      <c r="O20">
        <v>12</v>
      </c>
    </row>
    <row r="21" spans="3:15" x14ac:dyDescent="0.2">
      <c r="E21" t="s">
        <v>42</v>
      </c>
      <c r="G21">
        <v>0</v>
      </c>
      <c r="H21" t="s">
        <v>42</v>
      </c>
      <c r="J21">
        <v>0</v>
      </c>
      <c r="K21" t="s">
        <v>42</v>
      </c>
      <c r="L21">
        <v>0</v>
      </c>
      <c r="M21" t="s">
        <v>42</v>
      </c>
      <c r="N21">
        <v>0</v>
      </c>
    </row>
    <row r="22" spans="3:15" x14ac:dyDescent="0.2">
      <c r="E22" t="s">
        <v>43</v>
      </c>
      <c r="G22">
        <v>22</v>
      </c>
      <c r="H22" t="s">
        <v>43</v>
      </c>
      <c r="J22">
        <v>19</v>
      </c>
      <c r="K22" t="s">
        <v>43</v>
      </c>
      <c r="L22">
        <v>18</v>
      </c>
      <c r="M22" t="s">
        <v>43</v>
      </c>
      <c r="N22">
        <v>17</v>
      </c>
    </row>
    <row r="23" spans="3:15" x14ac:dyDescent="0.2">
      <c r="E23" t="s">
        <v>44</v>
      </c>
      <c r="G23">
        <v>2.0360175483657289E-2</v>
      </c>
      <c r="H23" t="s">
        <v>44</v>
      </c>
      <c r="J23">
        <v>0.58063307981136369</v>
      </c>
      <c r="K23" t="s">
        <v>44</v>
      </c>
      <c r="L23">
        <v>0.68151727534143713</v>
      </c>
      <c r="M23" t="s">
        <v>44</v>
      </c>
      <c r="N23">
        <v>0.90722207019206613</v>
      </c>
    </row>
    <row r="24" spans="3:15" x14ac:dyDescent="0.2">
      <c r="E24" t="s">
        <v>45</v>
      </c>
      <c r="G24">
        <v>0.49196979290987619</v>
      </c>
      <c r="H24" t="s">
        <v>45</v>
      </c>
      <c r="J24">
        <v>0.28415572205435646</v>
      </c>
      <c r="K24" t="s">
        <v>45</v>
      </c>
      <c r="L24">
        <v>0.25210958038615278</v>
      </c>
      <c r="M24" t="s">
        <v>45</v>
      </c>
      <c r="N24">
        <v>0.18848507336812231</v>
      </c>
    </row>
    <row r="25" spans="3:15" x14ac:dyDescent="0.2">
      <c r="E25" t="s">
        <v>46</v>
      </c>
      <c r="G25">
        <v>1.7171443743802424</v>
      </c>
      <c r="H25" t="s">
        <v>46</v>
      </c>
      <c r="J25">
        <v>1.7291328115213698</v>
      </c>
      <c r="K25" t="s">
        <v>46</v>
      </c>
      <c r="L25">
        <v>1.7340636066175394</v>
      </c>
      <c r="M25" t="s">
        <v>46</v>
      </c>
      <c r="N25">
        <v>1.7396067260750732</v>
      </c>
    </row>
    <row r="26" spans="3:15" x14ac:dyDescent="0.2">
      <c r="E26" t="s">
        <v>47</v>
      </c>
      <c r="G26">
        <v>0.98393958581975238</v>
      </c>
      <c r="H26" t="s">
        <v>47</v>
      </c>
      <c r="J26">
        <v>0.56831144410871293</v>
      </c>
      <c r="K26" t="s">
        <v>47</v>
      </c>
      <c r="L26">
        <v>0.50421916077230555</v>
      </c>
      <c r="M26" t="s">
        <v>47</v>
      </c>
      <c r="N26">
        <v>0.37697014673624463</v>
      </c>
    </row>
    <row r="27" spans="3:15" ht="17" thickBot="1" x14ac:dyDescent="0.25">
      <c r="C27" s="2"/>
      <c r="E27" s="2" t="s">
        <v>48</v>
      </c>
      <c r="F27" s="2"/>
      <c r="G27" s="2">
        <v>2.0738730679040258</v>
      </c>
      <c r="H27" s="2" t="s">
        <v>48</v>
      </c>
      <c r="I27" s="2"/>
      <c r="J27" s="2">
        <v>2.0930240544083096</v>
      </c>
      <c r="K27" s="2" t="s">
        <v>48</v>
      </c>
      <c r="L27" s="2">
        <v>2.1009220402410378</v>
      </c>
      <c r="M27" s="2" t="s">
        <v>48</v>
      </c>
      <c r="N27" s="2">
        <v>2.109815577833317</v>
      </c>
      <c r="O27" s="2"/>
    </row>
    <row r="28" spans="3:15" x14ac:dyDescent="0.2">
      <c r="G28">
        <f>G18-$C$18</f>
        <v>7.1241361111110564</v>
      </c>
      <c r="J28">
        <f>J18-$C$18</f>
        <v>257.42005833333303</v>
      </c>
      <c r="L28">
        <f>L18-$C$18</f>
        <v>329.80294166666647</v>
      </c>
      <c r="N28">
        <f>N18-$C$18</f>
        <v>462.8416722222222</v>
      </c>
    </row>
    <row r="29" spans="3:15" x14ac:dyDescent="0.2">
      <c r="G29">
        <f>G28/C18</f>
        <v>7.9047791648519852E-3</v>
      </c>
      <c r="J29">
        <f>J28/C18</f>
        <v>0.28562743355712855</v>
      </c>
      <c r="L29">
        <f>L28/C18</f>
        <v>0.36594183226336163</v>
      </c>
      <c r="N29">
        <f>N28/C18</f>
        <v>0.51355857750967093</v>
      </c>
    </row>
    <row r="30" spans="3:15" x14ac:dyDescent="0.2">
      <c r="G30" t="s">
        <v>59</v>
      </c>
      <c r="J30" t="s">
        <v>56</v>
      </c>
      <c r="L30" t="s">
        <v>57</v>
      </c>
      <c r="N30" t="s">
        <v>58</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09993-883F-0246-8831-6880B6351009}">
  <dimension ref="A1:AC28"/>
  <sheetViews>
    <sheetView tabSelected="1" zoomScale="150" zoomScaleNormal="150" workbookViewId="0">
      <selection activeCell="A2" sqref="A2"/>
    </sheetView>
  </sheetViews>
  <sheetFormatPr baseColWidth="10" defaultRowHeight="16" x14ac:dyDescent="0.2"/>
  <sheetData>
    <row r="1" spans="1:25" x14ac:dyDescent="0.2">
      <c r="A1" t="s">
        <v>116</v>
      </c>
    </row>
    <row r="2" spans="1:25" x14ac:dyDescent="0.2">
      <c r="B2" t="s">
        <v>0</v>
      </c>
      <c r="C2" t="s">
        <v>1</v>
      </c>
      <c r="D2" t="s">
        <v>2</v>
      </c>
      <c r="E2" t="s">
        <v>3</v>
      </c>
      <c r="H2" t="s">
        <v>16</v>
      </c>
      <c r="I2" t="s">
        <v>17</v>
      </c>
      <c r="J2" t="s">
        <v>18</v>
      </c>
      <c r="K2">
        <v>5.0000000000000001E-4</v>
      </c>
      <c r="L2">
        <f>D3+$K$2</f>
        <v>6.8999999999999999E-3</v>
      </c>
      <c r="M2" t="s">
        <v>19</v>
      </c>
      <c r="N2" t="s">
        <v>20</v>
      </c>
      <c r="O2" t="s">
        <v>18</v>
      </c>
      <c r="P2">
        <v>1E-3</v>
      </c>
      <c r="R2" t="s">
        <v>21</v>
      </c>
      <c r="S2" t="s">
        <v>22</v>
      </c>
      <c r="T2" t="s">
        <v>18</v>
      </c>
      <c r="U2">
        <v>5.0000000000000001E-4</v>
      </c>
      <c r="W2" t="s">
        <v>23</v>
      </c>
      <c r="X2" t="s">
        <v>24</v>
      </c>
      <c r="Y2" t="s">
        <v>18</v>
      </c>
    </row>
    <row r="3" spans="1:25" x14ac:dyDescent="0.2">
      <c r="A3" t="s">
        <v>4</v>
      </c>
      <c r="B3">
        <v>384</v>
      </c>
      <c r="C3">
        <v>6.4000000000000003E-3</v>
      </c>
      <c r="D3">
        <v>6.4000000000000003E-3</v>
      </c>
      <c r="E3">
        <v>2.4576000000000002</v>
      </c>
      <c r="H3">
        <v>370.89807142857097</v>
      </c>
      <c r="I3">
        <v>2.5428571428571401E-2</v>
      </c>
      <c r="J3">
        <v>1.5240201319659001E-2</v>
      </c>
      <c r="L3">
        <f t="shared" ref="L3:L15" si="0">D4+$K$2</f>
        <v>1.55E-2</v>
      </c>
      <c r="M3">
        <v>367.95933333333301</v>
      </c>
      <c r="N3">
        <v>1.38333333333333E-2</v>
      </c>
      <c r="O3">
        <v>1.3731957859921699E-2</v>
      </c>
      <c r="Q3">
        <f>$P$2+C3</f>
        <v>7.4000000000000003E-3</v>
      </c>
      <c r="R3">
        <v>366.69925000000001</v>
      </c>
      <c r="S3">
        <v>9.75E-3</v>
      </c>
      <c r="T3">
        <v>3.5000000000000001E-3</v>
      </c>
      <c r="V3">
        <f>C3-$U$2</f>
        <v>5.9000000000000007E-3</v>
      </c>
      <c r="W3">
        <v>362.04050000000001</v>
      </c>
      <c r="X3">
        <v>1.375E-2</v>
      </c>
      <c r="Y3">
        <v>8.9209491273817606E-3</v>
      </c>
    </row>
    <row r="4" spans="1:25" x14ac:dyDescent="0.2">
      <c r="A4" t="s">
        <v>5</v>
      </c>
      <c r="B4">
        <v>469</v>
      </c>
      <c r="C4">
        <v>1.4999999999999999E-2</v>
      </c>
      <c r="D4">
        <v>1.4999999999999999E-2</v>
      </c>
      <c r="E4">
        <v>7.0350000000000001</v>
      </c>
      <c r="H4">
        <v>469.242538461538</v>
      </c>
      <c r="I4">
        <v>3.7846153846153897E-2</v>
      </c>
      <c r="J4">
        <v>2.9875330703029598E-2</v>
      </c>
      <c r="L4">
        <f t="shared" si="0"/>
        <v>2.07E-2</v>
      </c>
      <c r="M4">
        <v>452.284875</v>
      </c>
      <c r="N4">
        <v>1.978125E-2</v>
      </c>
      <c r="O4">
        <v>1.5963131665830601E-2</v>
      </c>
      <c r="Q4">
        <f t="shared" ref="Q4:Q15" si="1">$P$2+C4</f>
        <v>1.6E-2</v>
      </c>
      <c r="R4">
        <v>467.96993548387098</v>
      </c>
      <c r="S4">
        <v>1.3290322580645201E-2</v>
      </c>
      <c r="T4">
        <v>1.06056385895651E-2</v>
      </c>
      <c r="V4">
        <f t="shared" ref="V4:V15" si="2">C4-$U$2</f>
        <v>1.4499999999999999E-2</v>
      </c>
      <c r="W4">
        <v>465.47421874999998</v>
      </c>
      <c r="X4">
        <v>1.4593750000000001E-2</v>
      </c>
      <c r="Y4">
        <v>2.2669945109998001E-2</v>
      </c>
    </row>
    <row r="5" spans="1:25" x14ac:dyDescent="0.2">
      <c r="A5" t="s">
        <v>6</v>
      </c>
      <c r="B5">
        <v>156</v>
      </c>
      <c r="C5">
        <v>2.0199999999999999E-2</v>
      </c>
      <c r="D5">
        <v>2.0199999999999999E-2</v>
      </c>
      <c r="E5">
        <v>3.1511999999999998</v>
      </c>
      <c r="H5">
        <v>176.39016883116901</v>
      </c>
      <c r="I5">
        <v>1.1988455988456E-2</v>
      </c>
      <c r="J5">
        <v>1.01615496838201E-2</v>
      </c>
      <c r="L5">
        <f t="shared" si="0"/>
        <v>2.6699999999999998E-2</v>
      </c>
      <c r="M5">
        <v>170.148170810811</v>
      </c>
      <c r="N5">
        <v>5.5427027027026704E-3</v>
      </c>
      <c r="O5">
        <v>5.5026128428909303E-3</v>
      </c>
      <c r="Q5">
        <f t="shared" si="1"/>
        <v>2.12E-2</v>
      </c>
      <c r="R5">
        <v>171.521426815642</v>
      </c>
      <c r="S5">
        <v>4.8055865921787398E-3</v>
      </c>
      <c r="T5">
        <v>4.2916823027502396E-3</v>
      </c>
      <c r="V5">
        <f t="shared" si="2"/>
        <v>1.9699999999999999E-2</v>
      </c>
      <c r="W5">
        <v>170.45450054406999</v>
      </c>
      <c r="X5">
        <v>4.2611534276386902E-3</v>
      </c>
      <c r="Y5">
        <v>4.2673869869602702E-3</v>
      </c>
    </row>
    <row r="6" spans="1:25" x14ac:dyDescent="0.2">
      <c r="A6" t="s">
        <v>7</v>
      </c>
      <c r="B6">
        <v>673</v>
      </c>
      <c r="C6">
        <v>2.6199999999999998E-2</v>
      </c>
      <c r="D6">
        <v>2.6199999999999998E-2</v>
      </c>
      <c r="E6">
        <v>17.6326</v>
      </c>
      <c r="H6">
        <v>668.13315555555505</v>
      </c>
      <c r="I6">
        <v>5.7022222222222203E-2</v>
      </c>
      <c r="J6">
        <v>3.5661596920910497E-2</v>
      </c>
      <c r="L6">
        <f t="shared" si="0"/>
        <v>4.07E-2</v>
      </c>
      <c r="M6">
        <v>671.13591176470595</v>
      </c>
      <c r="N6">
        <v>2.6176470588235301E-2</v>
      </c>
      <c r="O6">
        <v>2.1557241520755801E-2</v>
      </c>
      <c r="Q6">
        <f t="shared" si="1"/>
        <v>2.7199999999999998E-2</v>
      </c>
      <c r="R6">
        <v>675.35022500000002</v>
      </c>
      <c r="S6">
        <v>2.3924999999999998E-2</v>
      </c>
      <c r="T6">
        <v>2.3872940909999099E-2</v>
      </c>
      <c r="V6">
        <f t="shared" si="2"/>
        <v>2.5699999999999997E-2</v>
      </c>
      <c r="W6">
        <v>675.60751063829798</v>
      </c>
      <c r="X6">
        <v>2.0361702127659601E-2</v>
      </c>
      <c r="Y6">
        <v>1.35749538103384E-2</v>
      </c>
    </row>
    <row r="7" spans="1:25" x14ac:dyDescent="0.2">
      <c r="A7" t="s">
        <v>8</v>
      </c>
      <c r="B7">
        <v>801</v>
      </c>
      <c r="C7">
        <v>4.02E-2</v>
      </c>
      <c r="D7">
        <v>4.02E-2</v>
      </c>
      <c r="E7">
        <v>32.200200000000002</v>
      </c>
      <c r="H7">
        <v>806.70407547169805</v>
      </c>
      <c r="I7">
        <v>6.7037735849056604E-2</v>
      </c>
      <c r="J7">
        <v>6.6179523403028198E-2</v>
      </c>
      <c r="L7">
        <f t="shared" si="0"/>
        <v>4.41E-2</v>
      </c>
      <c r="M7">
        <v>801.37354385964898</v>
      </c>
      <c r="N7">
        <v>3.2035087719298201E-2</v>
      </c>
      <c r="O7">
        <v>3.0608101700764001E-2</v>
      </c>
      <c r="Q7">
        <f t="shared" si="1"/>
        <v>4.1200000000000001E-2</v>
      </c>
      <c r="R7">
        <v>805.30415384615401</v>
      </c>
      <c r="S7">
        <v>3.3923076923076903E-2</v>
      </c>
      <c r="T7">
        <v>3.68248947655513E-2</v>
      </c>
      <c r="V7">
        <f t="shared" si="2"/>
        <v>3.9699999999999999E-2</v>
      </c>
      <c r="W7">
        <v>806.73288888888897</v>
      </c>
      <c r="X7">
        <v>2.4777777777777801E-2</v>
      </c>
      <c r="Y7">
        <v>2.3734644158557201E-2</v>
      </c>
    </row>
    <row r="8" spans="1:25" x14ac:dyDescent="0.2">
      <c r="A8" t="s">
        <v>9</v>
      </c>
      <c r="B8">
        <v>436</v>
      </c>
      <c r="C8">
        <v>4.36E-2</v>
      </c>
      <c r="D8">
        <v>4.36E-2</v>
      </c>
      <c r="E8">
        <v>19.009599999999999</v>
      </c>
      <c r="H8">
        <v>430.273216666667</v>
      </c>
      <c r="I8">
        <v>3.2133333333333298E-2</v>
      </c>
      <c r="J8">
        <v>2.8261770709136699E-2</v>
      </c>
      <c r="L8">
        <f t="shared" si="0"/>
        <v>5.0099999999999999E-2</v>
      </c>
      <c r="M8">
        <v>435.679431034483</v>
      </c>
      <c r="N8">
        <v>1.8258620689655201E-2</v>
      </c>
      <c r="O8">
        <v>1.54039871175211E-2</v>
      </c>
      <c r="Q8">
        <f t="shared" si="1"/>
        <v>4.4600000000000001E-2</v>
      </c>
      <c r="R8">
        <v>432.73687692307698</v>
      </c>
      <c r="S8">
        <v>1.2953846153846199E-2</v>
      </c>
      <c r="T8">
        <v>9.0094234853547398E-3</v>
      </c>
      <c r="V8">
        <f t="shared" si="2"/>
        <v>4.3099999999999999E-2</v>
      </c>
      <c r="W8">
        <v>430.53785714285698</v>
      </c>
      <c r="X8">
        <v>1.00428571428571E-2</v>
      </c>
      <c r="Y8">
        <v>6.54844978731434E-3</v>
      </c>
    </row>
    <row r="9" spans="1:25" x14ac:dyDescent="0.2">
      <c r="A9" t="s">
        <v>10</v>
      </c>
      <c r="B9">
        <v>1250</v>
      </c>
      <c r="C9">
        <v>4.9599999999999998E-2</v>
      </c>
      <c r="D9">
        <v>4.9599999999999998E-2</v>
      </c>
      <c r="E9">
        <v>62</v>
      </c>
      <c r="H9">
        <v>1262.8452</v>
      </c>
      <c r="I9">
        <v>0.1128</v>
      </c>
      <c r="J9">
        <v>9.8915002794205995E-2</v>
      </c>
      <c r="L9">
        <f t="shared" si="0"/>
        <v>0.1027</v>
      </c>
      <c r="M9">
        <v>1250.3927272727301</v>
      </c>
      <c r="N9">
        <v>3.4272727272727302E-2</v>
      </c>
      <c r="O9">
        <v>2.67360838908428E-2</v>
      </c>
      <c r="Q9">
        <f t="shared" si="1"/>
        <v>5.0599999999999999E-2</v>
      </c>
      <c r="R9">
        <v>1254.7085</v>
      </c>
      <c r="S9">
        <v>3.4000000000000002E-2</v>
      </c>
      <c r="T9">
        <v>1.9311684972331902E-2</v>
      </c>
      <c r="V9">
        <f t="shared" si="2"/>
        <v>4.9099999999999998E-2</v>
      </c>
      <c r="W9">
        <v>1247.982</v>
      </c>
      <c r="X9">
        <v>3.3260869565217399E-2</v>
      </c>
      <c r="Y9">
        <v>3.18208299293294E-2</v>
      </c>
    </row>
    <row r="10" spans="1:25" x14ac:dyDescent="0.2">
      <c r="A10" t="s">
        <v>11</v>
      </c>
      <c r="B10">
        <v>2340</v>
      </c>
      <c r="C10">
        <v>0.1022</v>
      </c>
      <c r="D10">
        <v>0.1022</v>
      </c>
      <c r="E10">
        <v>239.148</v>
      </c>
      <c r="H10">
        <v>2341.40677777778</v>
      </c>
      <c r="I10">
        <v>0.25044444444444403</v>
      </c>
      <c r="J10">
        <v>0.15257947677202899</v>
      </c>
      <c r="L10">
        <f t="shared" si="0"/>
        <v>0.12609999999999999</v>
      </c>
      <c r="M10">
        <v>2346.6114705882301</v>
      </c>
      <c r="N10">
        <v>8.47058823529412E-2</v>
      </c>
      <c r="O10">
        <v>6.3341105044317697E-2</v>
      </c>
      <c r="Q10">
        <f t="shared" si="1"/>
        <v>0.1032</v>
      </c>
      <c r="R10">
        <v>2343.9446666666699</v>
      </c>
      <c r="S10">
        <v>5.6166666666666698E-2</v>
      </c>
      <c r="T10">
        <v>3.6613046192786998E-2</v>
      </c>
      <c r="V10">
        <f t="shared" si="2"/>
        <v>0.1017</v>
      </c>
      <c r="W10">
        <v>2328.799</v>
      </c>
      <c r="X10">
        <v>7.6999999999999999E-2</v>
      </c>
      <c r="Y10">
        <v>0</v>
      </c>
    </row>
    <row r="11" spans="1:25" x14ac:dyDescent="0.2">
      <c r="A11" t="s">
        <v>12</v>
      </c>
      <c r="B11">
        <v>2420</v>
      </c>
      <c r="C11">
        <v>0.12559999999999999</v>
      </c>
      <c r="D11">
        <v>0.12559999999999999</v>
      </c>
      <c r="E11">
        <v>303.952</v>
      </c>
      <c r="H11">
        <v>2413.1325499999998</v>
      </c>
      <c r="I11">
        <v>0.1585</v>
      </c>
      <c r="J11">
        <v>0.115030201983744</v>
      </c>
      <c r="L11">
        <f t="shared" si="0"/>
        <v>0.16109999999999999</v>
      </c>
      <c r="M11">
        <v>2413.2970555555598</v>
      </c>
      <c r="N11">
        <v>0.11377777777777801</v>
      </c>
      <c r="O11">
        <v>0.10991951898364</v>
      </c>
      <c r="Q11">
        <f t="shared" si="1"/>
        <v>0.12659999999999999</v>
      </c>
      <c r="R11">
        <v>2411.7662500000001</v>
      </c>
      <c r="S11">
        <v>6.6000000000000003E-2</v>
      </c>
      <c r="T11">
        <v>5.8446556784809797E-2</v>
      </c>
      <c r="V11">
        <f t="shared" si="2"/>
        <v>0.12509999999999999</v>
      </c>
      <c r="W11">
        <v>2419.1226666666698</v>
      </c>
      <c r="X11">
        <v>4.6833333333333303E-2</v>
      </c>
      <c r="Y11">
        <v>2.0913313144183199E-2</v>
      </c>
    </row>
    <row r="12" spans="1:25" x14ac:dyDescent="0.2">
      <c r="A12" t="s">
        <v>13</v>
      </c>
      <c r="B12">
        <v>3030</v>
      </c>
      <c r="C12">
        <v>0.16059999999999999</v>
      </c>
      <c r="D12">
        <v>0.16059999999999999</v>
      </c>
      <c r="E12">
        <v>486.61799999999999</v>
      </c>
      <c r="H12">
        <v>3026.4289166666699</v>
      </c>
      <c r="I12">
        <v>0.175416666666667</v>
      </c>
      <c r="J12">
        <v>8.0717755547376702E-2</v>
      </c>
      <c r="L12">
        <f t="shared" si="0"/>
        <v>0.17610000000000001</v>
      </c>
      <c r="M12">
        <v>3038.8823809523801</v>
      </c>
      <c r="N12">
        <v>0.13323809523809499</v>
      </c>
      <c r="O12">
        <v>0.100565354253791</v>
      </c>
      <c r="Q12">
        <f t="shared" si="1"/>
        <v>0.16159999999999999</v>
      </c>
      <c r="R12">
        <v>3039.3827142857099</v>
      </c>
      <c r="S12">
        <v>9.9238095238095306E-2</v>
      </c>
      <c r="T12">
        <v>6.9548475728735307E-2</v>
      </c>
      <c r="V12">
        <f t="shared" si="2"/>
        <v>0.16009999999999999</v>
      </c>
      <c r="W12">
        <v>3035.4082142857101</v>
      </c>
      <c r="X12">
        <v>9.5428571428571404E-2</v>
      </c>
      <c r="Y12">
        <v>7.2822982726518506E-2</v>
      </c>
    </row>
    <row r="13" spans="1:25" x14ac:dyDescent="0.2">
      <c r="A13" t="s">
        <v>14</v>
      </c>
      <c r="B13">
        <v>2870</v>
      </c>
      <c r="C13">
        <v>0.17560000000000001</v>
      </c>
      <c r="D13">
        <v>0.17560000000000001</v>
      </c>
      <c r="E13">
        <v>503.97200000000004</v>
      </c>
      <c r="H13">
        <v>2862.9244761904802</v>
      </c>
      <c r="I13">
        <v>0.34333333333333299</v>
      </c>
      <c r="J13">
        <v>0.30845669604230203</v>
      </c>
      <c r="L13">
        <f t="shared" si="0"/>
        <v>0.22390000000000002</v>
      </c>
      <c r="M13">
        <v>2869.7249090909099</v>
      </c>
      <c r="N13">
        <v>0.107090909090909</v>
      </c>
      <c r="O13">
        <v>8.6192425416240601E-2</v>
      </c>
      <c r="Q13">
        <f t="shared" si="1"/>
        <v>0.17660000000000001</v>
      </c>
      <c r="R13">
        <v>2872.9252000000001</v>
      </c>
      <c r="S13">
        <v>0.16550000000000001</v>
      </c>
      <c r="T13">
        <v>0.19311726431828399</v>
      </c>
      <c r="V13">
        <f t="shared" si="2"/>
        <v>0.17510000000000001</v>
      </c>
      <c r="W13">
        <v>2854.41685714286</v>
      </c>
      <c r="X13">
        <v>8.6571428571428605E-2</v>
      </c>
      <c r="Y13">
        <v>7.4042458861694402E-2</v>
      </c>
    </row>
    <row r="14" spans="1:25" x14ac:dyDescent="0.2">
      <c r="A14" t="s">
        <v>13</v>
      </c>
      <c r="B14">
        <v>3030</v>
      </c>
      <c r="C14">
        <v>0.22340000000000002</v>
      </c>
      <c r="D14">
        <v>0.22340000000000002</v>
      </c>
      <c r="E14">
        <v>676.90200000000004</v>
      </c>
      <c r="H14">
        <v>3026.4289166666699</v>
      </c>
      <c r="I14">
        <v>0.175416666666667</v>
      </c>
      <c r="J14">
        <v>8.0717755547376702E-2</v>
      </c>
      <c r="L14">
        <f t="shared" si="0"/>
        <v>0.30710000000000004</v>
      </c>
      <c r="M14">
        <v>3038.8823809523801</v>
      </c>
      <c r="N14">
        <v>0.13323809523809499</v>
      </c>
      <c r="O14">
        <v>0.100565354253791</v>
      </c>
      <c r="Q14">
        <f t="shared" si="1"/>
        <v>0.22440000000000002</v>
      </c>
      <c r="R14">
        <v>3039.3827142857099</v>
      </c>
      <c r="S14">
        <v>9.9238095238095306E-2</v>
      </c>
      <c r="T14">
        <v>6.9548475728735307E-2</v>
      </c>
      <c r="V14">
        <f t="shared" si="2"/>
        <v>0.22290000000000001</v>
      </c>
      <c r="W14">
        <v>3035.4082142857101</v>
      </c>
      <c r="X14">
        <v>9.5428571428571404E-2</v>
      </c>
      <c r="Y14">
        <v>7.2822982726518506E-2</v>
      </c>
    </row>
    <row r="15" spans="1:25" x14ac:dyDescent="0.2">
      <c r="A15" t="s">
        <v>15</v>
      </c>
      <c r="B15">
        <v>3290</v>
      </c>
      <c r="C15">
        <v>0.30660000000000004</v>
      </c>
      <c r="D15">
        <v>0.30660000000000004</v>
      </c>
      <c r="E15">
        <v>1008.7140000000002</v>
      </c>
      <c r="H15">
        <v>3290.4695185185201</v>
      </c>
      <c r="I15">
        <v>0.28788888888888903</v>
      </c>
      <c r="J15">
        <v>0.27102701161626103</v>
      </c>
      <c r="L15">
        <f t="shared" si="0"/>
        <v>5.0000000000000001E-4</v>
      </c>
      <c r="M15">
        <v>3294.5684545454501</v>
      </c>
      <c r="N15">
        <v>0.19230303030303</v>
      </c>
      <c r="O15">
        <v>0.204215799592074</v>
      </c>
      <c r="Q15">
        <f t="shared" si="1"/>
        <v>0.30760000000000004</v>
      </c>
      <c r="R15">
        <v>3284.0608181818202</v>
      </c>
      <c r="S15">
        <v>0.123484848484848</v>
      </c>
      <c r="T15">
        <v>9.8186404739951494E-2</v>
      </c>
      <c r="V15">
        <f t="shared" si="2"/>
        <v>0.30610000000000004</v>
      </c>
      <c r="W15">
        <v>3294.3929600000001</v>
      </c>
      <c r="X15">
        <v>0.14616000000000001</v>
      </c>
      <c r="Y15">
        <v>0.16257707915529401</v>
      </c>
    </row>
    <row r="16" spans="1:25" x14ac:dyDescent="0.2">
      <c r="A16" t="s">
        <v>38</v>
      </c>
      <c r="H16" t="s">
        <v>38</v>
      </c>
      <c r="M16" t="s">
        <v>38</v>
      </c>
      <c r="R16" t="s">
        <v>38</v>
      </c>
      <c r="W16" t="s">
        <v>38</v>
      </c>
    </row>
    <row r="17" spans="1:29" ht="17" thickBot="1" x14ac:dyDescent="0.25"/>
    <row r="18" spans="1:29" x14ac:dyDescent="0.2">
      <c r="A18" s="3"/>
      <c r="B18" s="3" t="s">
        <v>2</v>
      </c>
      <c r="C18" s="3" t="s">
        <v>1</v>
      </c>
      <c r="H18" s="3"/>
      <c r="I18" s="3" t="s">
        <v>17</v>
      </c>
      <c r="J18" s="3" t="s">
        <v>1</v>
      </c>
      <c r="M18" s="3"/>
      <c r="N18" s="3" t="s">
        <v>20</v>
      </c>
      <c r="O18" s="3" t="s">
        <v>1</v>
      </c>
      <c r="R18" s="3"/>
      <c r="S18" s="3" t="s">
        <v>22</v>
      </c>
      <c r="T18" s="3" t="s">
        <v>1</v>
      </c>
      <c r="W18" s="3"/>
      <c r="X18" s="3" t="s">
        <v>24</v>
      </c>
      <c r="Y18" s="3" t="s">
        <v>1</v>
      </c>
      <c r="AA18" s="3"/>
      <c r="AB18" s="3"/>
      <c r="AC18" s="3"/>
    </row>
    <row r="19" spans="1:29" x14ac:dyDescent="0.2">
      <c r="A19" t="s">
        <v>39</v>
      </c>
      <c r="B19">
        <v>9.9630769230769245E-2</v>
      </c>
      <c r="C19">
        <v>9.9630769230769245E-2</v>
      </c>
      <c r="H19" t="s">
        <v>39</v>
      </c>
      <c r="I19">
        <v>0.13348126712829181</v>
      </c>
      <c r="J19">
        <v>9.9630769230769245E-2</v>
      </c>
      <c r="M19" t="s">
        <v>39</v>
      </c>
      <c r="N19">
        <v>7.0327229408215397E-2</v>
      </c>
      <c r="O19">
        <v>9.9630769230769245E-2</v>
      </c>
      <c r="R19" t="s">
        <v>39</v>
      </c>
      <c r="S19">
        <v>5.7098118298265568E-2</v>
      </c>
      <c r="T19">
        <v>9.9630769230769245E-2</v>
      </c>
      <c r="W19" t="s">
        <v>39</v>
      </c>
      <c r="X19">
        <v>5.1420770369465796E-2</v>
      </c>
      <c r="Y19">
        <v>9.9630769230769245E-2</v>
      </c>
    </row>
    <row r="20" spans="1:29" x14ac:dyDescent="0.2">
      <c r="A20" t="s">
        <v>40</v>
      </c>
      <c r="B20">
        <v>8.7545723076923061E-3</v>
      </c>
      <c r="C20">
        <v>8.7545723076923061E-3</v>
      </c>
      <c r="H20" t="s">
        <v>40</v>
      </c>
      <c r="I20">
        <v>1.1853740887503017E-2</v>
      </c>
      <c r="J20">
        <v>8.7545723076923061E-3</v>
      </c>
      <c r="M20" t="s">
        <v>40</v>
      </c>
      <c r="N20">
        <v>3.634170835577931E-3</v>
      </c>
      <c r="O20">
        <v>8.7545723076923061E-3</v>
      </c>
      <c r="R20" t="s">
        <v>40</v>
      </c>
      <c r="S20">
        <v>2.5670905509170366E-3</v>
      </c>
      <c r="T20">
        <v>8.7545723076923061E-3</v>
      </c>
      <c r="W20" t="s">
        <v>40</v>
      </c>
      <c r="X20">
        <v>1.9562982826922311E-3</v>
      </c>
      <c r="Y20">
        <v>8.7545723076923061E-3</v>
      </c>
    </row>
    <row r="21" spans="1:29" x14ac:dyDescent="0.2">
      <c r="A21" t="s">
        <v>41</v>
      </c>
      <c r="B21">
        <v>13</v>
      </c>
      <c r="C21">
        <v>13</v>
      </c>
      <c r="H21" t="s">
        <v>41</v>
      </c>
      <c r="I21">
        <v>13</v>
      </c>
      <c r="J21">
        <v>13</v>
      </c>
      <c r="M21" t="s">
        <v>41</v>
      </c>
      <c r="N21">
        <v>13</v>
      </c>
      <c r="O21">
        <v>13</v>
      </c>
      <c r="R21" t="s">
        <v>41</v>
      </c>
      <c r="S21">
        <v>13</v>
      </c>
      <c r="T21">
        <v>13</v>
      </c>
      <c r="W21" t="s">
        <v>41</v>
      </c>
      <c r="X21">
        <v>13</v>
      </c>
      <c r="Y21">
        <v>13</v>
      </c>
    </row>
    <row r="22" spans="1:29" x14ac:dyDescent="0.2">
      <c r="A22" t="s">
        <v>42</v>
      </c>
      <c r="B22">
        <v>0</v>
      </c>
      <c r="H22" t="s">
        <v>42</v>
      </c>
      <c r="I22">
        <v>0</v>
      </c>
      <c r="M22" t="s">
        <v>42</v>
      </c>
      <c r="N22">
        <v>0</v>
      </c>
      <c r="R22" t="s">
        <v>42</v>
      </c>
      <c r="S22">
        <v>0</v>
      </c>
      <c r="W22" t="s">
        <v>42</v>
      </c>
      <c r="X22">
        <v>0</v>
      </c>
    </row>
    <row r="23" spans="1:29" x14ac:dyDescent="0.2">
      <c r="A23" t="s">
        <v>43</v>
      </c>
      <c r="B23">
        <v>24</v>
      </c>
      <c r="H23" t="s">
        <v>43</v>
      </c>
      <c r="I23">
        <v>23</v>
      </c>
      <c r="M23" t="s">
        <v>43</v>
      </c>
      <c r="N23">
        <v>20</v>
      </c>
      <c r="R23" t="s">
        <v>43</v>
      </c>
      <c r="S23">
        <v>18</v>
      </c>
      <c r="W23" t="s">
        <v>43</v>
      </c>
      <c r="X23">
        <v>17</v>
      </c>
    </row>
    <row r="24" spans="1:29" x14ac:dyDescent="0.2">
      <c r="A24" t="s">
        <v>44</v>
      </c>
      <c r="B24">
        <v>0</v>
      </c>
      <c r="H24" t="s">
        <v>44</v>
      </c>
      <c r="I24">
        <v>0.85018906369868741</v>
      </c>
      <c r="M24" t="s">
        <v>44</v>
      </c>
      <c r="N24">
        <v>-0.94924460472027261</v>
      </c>
      <c r="R24" t="s">
        <v>44</v>
      </c>
      <c r="S24">
        <v>-1.4412489998216926</v>
      </c>
      <c r="W24" t="s">
        <v>44</v>
      </c>
      <c r="X24">
        <v>-1.679563435208755</v>
      </c>
    </row>
    <row r="25" spans="1:29" x14ac:dyDescent="0.2">
      <c r="A25" t="s">
        <v>45</v>
      </c>
      <c r="B25">
        <v>0.5</v>
      </c>
      <c r="H25" t="s">
        <v>45</v>
      </c>
      <c r="I25">
        <v>0.20199195707789441</v>
      </c>
      <c r="M25" t="s">
        <v>45</v>
      </c>
      <c r="N25">
        <v>0.17691327727966083</v>
      </c>
      <c r="R25" t="s">
        <v>45</v>
      </c>
      <c r="S25">
        <v>8.3342767976380211E-2</v>
      </c>
      <c r="W25" t="s">
        <v>45</v>
      </c>
      <c r="X25">
        <v>5.5662598089505147E-2</v>
      </c>
    </row>
    <row r="26" spans="1:29" x14ac:dyDescent="0.2">
      <c r="A26" t="s">
        <v>46</v>
      </c>
      <c r="B26">
        <v>1.7108820799094284</v>
      </c>
      <c r="H26" t="s">
        <v>46</v>
      </c>
      <c r="I26">
        <v>1.7138715277470482</v>
      </c>
      <c r="M26" t="s">
        <v>46</v>
      </c>
      <c r="N26">
        <v>1.7247182429207868</v>
      </c>
      <c r="R26" t="s">
        <v>46</v>
      </c>
      <c r="S26">
        <v>1.7340636066175394</v>
      </c>
      <c r="W26" t="s">
        <v>46</v>
      </c>
      <c r="X26">
        <v>1.7396067260750732</v>
      </c>
    </row>
    <row r="27" spans="1:29" x14ac:dyDescent="0.2">
      <c r="A27" t="s">
        <v>47</v>
      </c>
      <c r="B27">
        <v>1</v>
      </c>
      <c r="H27" t="s">
        <v>47</v>
      </c>
      <c r="I27">
        <v>0.40398391415578883</v>
      </c>
      <c r="M27" t="s">
        <v>47</v>
      </c>
      <c r="N27">
        <v>0.35382655455932166</v>
      </c>
      <c r="R27" t="s">
        <v>47</v>
      </c>
      <c r="S27">
        <v>0.16668553595276042</v>
      </c>
      <c r="W27" t="s">
        <v>47</v>
      </c>
      <c r="X27">
        <v>0.11132519617901029</v>
      </c>
    </row>
    <row r="28" spans="1:29" ht="17" thickBot="1" x14ac:dyDescent="0.25">
      <c r="A28" s="2" t="s">
        <v>48</v>
      </c>
      <c r="B28" s="2">
        <v>2.0638985616280254</v>
      </c>
      <c r="C28" s="2"/>
      <c r="H28" s="2" t="s">
        <v>48</v>
      </c>
      <c r="I28" s="2">
        <v>2.0686576104190491</v>
      </c>
      <c r="J28" s="2"/>
      <c r="M28" s="2" t="s">
        <v>48</v>
      </c>
      <c r="N28" s="2">
        <v>2.0859634472658648</v>
      </c>
      <c r="O28" s="2"/>
      <c r="R28" s="2" t="s">
        <v>48</v>
      </c>
      <c r="S28" s="2">
        <v>2.1009220402410378</v>
      </c>
      <c r="T28" s="2"/>
      <c r="W28" s="2" t="s">
        <v>48</v>
      </c>
      <c r="X28" s="2">
        <v>2.109815577833317</v>
      </c>
      <c r="Y28" s="2"/>
      <c r="AA28" s="2"/>
      <c r="AB28" s="2"/>
      <c r="AC28" s="2"/>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AB0E9-DB54-A748-A80F-FCAFB04FE5A7}">
  <dimension ref="A1:AJ32"/>
  <sheetViews>
    <sheetView zoomScale="150" zoomScaleNormal="150" workbookViewId="0"/>
  </sheetViews>
  <sheetFormatPr baseColWidth="10" defaultRowHeight="16" x14ac:dyDescent="0.2"/>
  <cols>
    <col min="1" max="1" width="18" customWidth="1"/>
  </cols>
  <sheetData>
    <row r="1" spans="1:32" x14ac:dyDescent="0.2">
      <c r="A1" s="44" t="s">
        <v>96</v>
      </c>
    </row>
    <row r="2" spans="1:32" x14ac:dyDescent="0.2">
      <c r="A2" s="12" t="s">
        <v>83</v>
      </c>
    </row>
    <row r="3" spans="1:32" x14ac:dyDescent="0.2">
      <c r="A3" s="8" t="s">
        <v>84</v>
      </c>
    </row>
    <row r="4" spans="1:32" x14ac:dyDescent="0.2">
      <c r="A4" s="10" t="s">
        <v>85</v>
      </c>
    </row>
    <row r="6" spans="1:32" x14ac:dyDescent="0.2">
      <c r="A6" t="s">
        <v>72</v>
      </c>
      <c r="B6" s="12" t="s">
        <v>0</v>
      </c>
      <c r="C6" s="12" t="s">
        <v>1</v>
      </c>
      <c r="D6" s="12" t="s">
        <v>2</v>
      </c>
      <c r="E6" s="12" t="s">
        <v>3</v>
      </c>
      <c r="G6" s="8" t="s">
        <v>81</v>
      </c>
      <c r="H6" s="8" t="s">
        <v>18</v>
      </c>
      <c r="I6" t="s">
        <v>16</v>
      </c>
      <c r="J6" s="10" t="s">
        <v>80</v>
      </c>
      <c r="K6" s="10" t="s">
        <v>18</v>
      </c>
      <c r="L6">
        <v>3.0000000000000001E-3</v>
      </c>
      <c r="M6" t="s">
        <v>82</v>
      </c>
      <c r="N6" s="8" t="s">
        <v>61</v>
      </c>
      <c r="O6" s="8" t="s">
        <v>18</v>
      </c>
      <c r="P6" t="s">
        <v>19</v>
      </c>
      <c r="Q6" s="10" t="s">
        <v>20</v>
      </c>
      <c r="R6" s="10" t="s">
        <v>18</v>
      </c>
      <c r="S6">
        <v>5.0000000000000001E-3</v>
      </c>
      <c r="U6" s="8" t="s">
        <v>62</v>
      </c>
      <c r="V6" s="8" t="s">
        <v>18</v>
      </c>
      <c r="W6" t="s">
        <v>21</v>
      </c>
      <c r="X6" s="10" t="s">
        <v>22</v>
      </c>
      <c r="Y6" s="10" t="s">
        <v>18</v>
      </c>
      <c r="Z6">
        <v>3.0000000000000001E-3</v>
      </c>
      <c r="AB6" s="8" t="s">
        <v>63</v>
      </c>
      <c r="AC6" s="8" t="s">
        <v>18</v>
      </c>
      <c r="AD6" t="s">
        <v>23</v>
      </c>
      <c r="AE6" s="10" t="s">
        <v>24</v>
      </c>
      <c r="AF6" s="10" t="s">
        <v>18</v>
      </c>
    </row>
    <row r="7" spans="1:32" s="4" customFormat="1" x14ac:dyDescent="0.2">
      <c r="A7" s="4" t="s">
        <v>4</v>
      </c>
      <c r="B7" s="13">
        <v>384</v>
      </c>
      <c r="C7" s="13">
        <v>6.4000000000000003E-3</v>
      </c>
      <c r="D7" s="13">
        <v>6.4000000000000003E-3</v>
      </c>
      <c r="E7" s="13">
        <v>2.4576000000000002</v>
      </c>
      <c r="G7" s="9">
        <v>2.2499999999999999E-2</v>
      </c>
      <c r="H7" s="9">
        <v>1.3574580316504501E-2</v>
      </c>
      <c r="I7" s="4">
        <v>370.89807142857097</v>
      </c>
      <c r="J7" s="11">
        <v>2.5428571428571401E-2</v>
      </c>
      <c r="K7" s="11">
        <v>1.5240201319659001E-2</v>
      </c>
      <c r="M7" s="4">
        <f t="shared" ref="M7:M19" si="0">D7+$L$6</f>
        <v>9.4000000000000004E-3</v>
      </c>
      <c r="N7" s="9">
        <v>1.23333333333333E-2</v>
      </c>
      <c r="O7" s="9">
        <v>1.19107794315346E-2</v>
      </c>
      <c r="P7" s="4">
        <v>367.95933333333301</v>
      </c>
      <c r="Q7" s="11">
        <v>1.38333333333333E-2</v>
      </c>
      <c r="R7" s="11">
        <v>1.3731957859921699E-2</v>
      </c>
      <c r="T7" s="4">
        <f>$S$6+C7</f>
        <v>1.14E-2</v>
      </c>
      <c r="U7" s="9">
        <v>8.5000000000000006E-3</v>
      </c>
      <c r="V7" s="9">
        <v>3.1091263510296002E-3</v>
      </c>
      <c r="W7" s="4">
        <v>366.69925000000001</v>
      </c>
      <c r="X7" s="11">
        <v>9.75E-3</v>
      </c>
      <c r="Y7" s="11">
        <v>3.5000000000000001E-3</v>
      </c>
      <c r="AA7" s="4">
        <f>C7-$Z$6</f>
        <v>3.4000000000000002E-3</v>
      </c>
      <c r="AB7" s="9">
        <v>1.225E-2</v>
      </c>
      <c r="AC7" s="9">
        <v>7.9320026895271997E-3</v>
      </c>
      <c r="AD7" s="4">
        <v>362.04050000000001</v>
      </c>
      <c r="AE7" s="11">
        <v>1.375E-2</v>
      </c>
      <c r="AF7" s="11">
        <v>8.9209491273817606E-3</v>
      </c>
    </row>
    <row r="8" spans="1:32" s="4" customFormat="1" x14ac:dyDescent="0.2">
      <c r="A8" s="4" t="s">
        <v>5</v>
      </c>
      <c r="B8" s="13">
        <v>469</v>
      </c>
      <c r="C8" s="13">
        <v>1.4999999999999999E-2</v>
      </c>
      <c r="D8" s="13">
        <v>1.4999999999999999E-2</v>
      </c>
      <c r="E8" s="13">
        <v>7.0350000000000001</v>
      </c>
      <c r="G8" s="9">
        <v>3.3461538461538501E-2</v>
      </c>
      <c r="H8" s="9">
        <v>2.6515249603548199E-2</v>
      </c>
      <c r="I8" s="4">
        <v>469.242538461538</v>
      </c>
      <c r="J8" s="11">
        <v>3.7846153846153897E-2</v>
      </c>
      <c r="K8" s="11">
        <v>2.9875330703029598E-2</v>
      </c>
      <c r="M8" s="4">
        <f t="shared" si="0"/>
        <v>1.7999999999999999E-2</v>
      </c>
      <c r="N8" s="9">
        <v>1.7562500000000002E-2</v>
      </c>
      <c r="O8" s="9">
        <v>1.40366743143257E-2</v>
      </c>
      <c r="P8" s="4">
        <v>452.284875</v>
      </c>
      <c r="Q8" s="11">
        <v>1.978125E-2</v>
      </c>
      <c r="R8" s="11">
        <v>1.5963131665830601E-2</v>
      </c>
      <c r="T8" s="4">
        <f t="shared" ref="T8:T19" si="1">$S$6+C8</f>
        <v>0.02</v>
      </c>
      <c r="U8" s="9">
        <v>1.1806451612903199E-2</v>
      </c>
      <c r="V8" s="9">
        <v>9.5093615447750905E-3</v>
      </c>
      <c r="W8" s="4">
        <v>467.96993548387098</v>
      </c>
      <c r="X8" s="11">
        <v>1.3290322580645201E-2</v>
      </c>
      <c r="Y8" s="11">
        <v>1.06056385895651E-2</v>
      </c>
      <c r="AA8" s="4">
        <f t="shared" ref="AA8:AA19" si="2">C8-$Z$6</f>
        <v>1.2E-2</v>
      </c>
      <c r="AB8" s="9">
        <v>1.2999999999999999E-2</v>
      </c>
      <c r="AC8" s="9">
        <v>2.0049937655763399E-2</v>
      </c>
      <c r="AD8" s="4">
        <v>465.47421874999998</v>
      </c>
      <c r="AE8" s="11">
        <v>1.4593750000000001E-2</v>
      </c>
      <c r="AF8" s="11">
        <v>2.2669945109998001E-2</v>
      </c>
    </row>
    <row r="9" spans="1:32" s="4" customFormat="1" x14ac:dyDescent="0.2">
      <c r="A9" s="4" t="s">
        <v>6</v>
      </c>
      <c r="B9" s="13">
        <v>156</v>
      </c>
      <c r="C9" s="13">
        <v>2.0199999999999999E-2</v>
      </c>
      <c r="D9" s="13">
        <v>2.0199999999999999E-2</v>
      </c>
      <c r="E9" s="13">
        <v>3.1511999999999998</v>
      </c>
      <c r="G9" s="9">
        <v>1.08095238095238E-2</v>
      </c>
      <c r="H9" s="9">
        <v>9.1716811847977892E-3</v>
      </c>
      <c r="I9" s="4">
        <v>176.39016883116901</v>
      </c>
      <c r="J9" s="11">
        <v>1.1988455988456E-2</v>
      </c>
      <c r="K9" s="11">
        <v>1.01615496838201E-2</v>
      </c>
      <c r="M9" s="4">
        <f t="shared" si="0"/>
        <v>2.3199999999999998E-2</v>
      </c>
      <c r="N9" s="9">
        <v>5.0097297297297004E-3</v>
      </c>
      <c r="O9" s="9">
        <v>4.9612036436273901E-3</v>
      </c>
      <c r="P9" s="4">
        <v>170.148170810811</v>
      </c>
      <c r="Q9" s="11">
        <v>5.5427027027026704E-3</v>
      </c>
      <c r="R9" s="11">
        <v>5.5026128428909303E-3</v>
      </c>
      <c r="T9" s="4">
        <f t="shared" si="1"/>
        <v>2.52E-2</v>
      </c>
      <c r="U9" s="9">
        <v>4.3284916201116897E-3</v>
      </c>
      <c r="V9" s="9">
        <v>3.8740551945805799E-3</v>
      </c>
      <c r="W9" s="4">
        <v>171.521426815642</v>
      </c>
      <c r="X9" s="11">
        <v>4.8055865921787398E-3</v>
      </c>
      <c r="Y9" s="11">
        <v>4.2916823027502396E-3</v>
      </c>
      <c r="AA9" s="4">
        <f t="shared" si="2"/>
        <v>1.72E-2</v>
      </c>
      <c r="AB9" s="9">
        <v>3.8139281828073598E-3</v>
      </c>
      <c r="AC9" s="9">
        <v>3.8460547251807299E-3</v>
      </c>
      <c r="AD9" s="4">
        <v>170.45450054406999</v>
      </c>
      <c r="AE9" s="11">
        <v>4.2611534276386902E-3</v>
      </c>
      <c r="AF9" s="11">
        <v>4.2673869869602702E-3</v>
      </c>
    </row>
    <row r="10" spans="1:32" s="4" customFormat="1" x14ac:dyDescent="0.2">
      <c r="A10" s="4" t="s">
        <v>7</v>
      </c>
      <c r="B10" s="13">
        <v>673</v>
      </c>
      <c r="C10" s="13">
        <v>2.6199999999999998E-2</v>
      </c>
      <c r="D10" s="13">
        <v>2.6199999999999998E-2</v>
      </c>
      <c r="E10" s="13">
        <v>17.6326</v>
      </c>
      <c r="G10" s="9">
        <v>5.01777777777778E-2</v>
      </c>
      <c r="H10" s="9">
        <v>3.1382746337386899E-2</v>
      </c>
      <c r="I10" s="4">
        <v>668.13315555555505</v>
      </c>
      <c r="J10" s="11">
        <v>5.7022222222222203E-2</v>
      </c>
      <c r="K10" s="11">
        <v>3.5661596920910497E-2</v>
      </c>
      <c r="M10" s="4">
        <f t="shared" si="0"/>
        <v>2.9199999999999997E-2</v>
      </c>
      <c r="N10" s="9">
        <v>2.3029411764705899E-2</v>
      </c>
      <c r="O10" s="9">
        <v>1.9080325561410399E-2</v>
      </c>
      <c r="P10" s="4">
        <v>671.13591176470595</v>
      </c>
      <c r="Q10" s="11">
        <v>2.6176470588235301E-2</v>
      </c>
      <c r="R10" s="11">
        <v>2.1557241520755801E-2</v>
      </c>
      <c r="T10" s="4">
        <f t="shared" si="1"/>
        <v>3.1199999999999999E-2</v>
      </c>
      <c r="U10" s="9">
        <v>2.1149999999999999E-2</v>
      </c>
      <c r="V10" s="9">
        <v>2.1078060047941199E-2</v>
      </c>
      <c r="W10" s="4">
        <v>675.35022500000002</v>
      </c>
      <c r="X10" s="11">
        <v>2.3924999999999998E-2</v>
      </c>
      <c r="Y10" s="11">
        <v>2.3872940909999099E-2</v>
      </c>
      <c r="AA10" s="4">
        <f t="shared" si="2"/>
        <v>2.3199999999999998E-2</v>
      </c>
      <c r="AB10" s="9">
        <v>1.7893617021276599E-2</v>
      </c>
      <c r="AC10" s="9">
        <v>1.1933209128772E-2</v>
      </c>
      <c r="AD10" s="4">
        <v>675.60751063829798</v>
      </c>
      <c r="AE10" s="11">
        <v>2.0361702127659601E-2</v>
      </c>
      <c r="AF10" s="11">
        <v>1.35749538103384E-2</v>
      </c>
    </row>
    <row r="11" spans="1:32" s="4" customFormat="1" x14ac:dyDescent="0.2">
      <c r="A11" s="4" t="s">
        <v>8</v>
      </c>
      <c r="B11" s="13">
        <v>801</v>
      </c>
      <c r="C11" s="13">
        <v>4.02E-2</v>
      </c>
      <c r="D11" s="13">
        <v>4.02E-2</v>
      </c>
      <c r="E11" s="13">
        <v>32.200200000000002</v>
      </c>
      <c r="G11" s="9">
        <v>5.8811320754716997E-2</v>
      </c>
      <c r="H11" s="9">
        <v>5.7946612233813199E-2</v>
      </c>
      <c r="I11" s="4">
        <v>806.70407547169805</v>
      </c>
      <c r="J11" s="11">
        <v>6.7037735849056604E-2</v>
      </c>
      <c r="K11" s="11">
        <v>6.6179523403028198E-2</v>
      </c>
      <c r="M11" s="4">
        <f t="shared" si="0"/>
        <v>4.3200000000000002E-2</v>
      </c>
      <c r="N11" s="9">
        <v>2.8105263157894699E-2</v>
      </c>
      <c r="O11" s="9">
        <v>2.6784646595262099E-2</v>
      </c>
      <c r="P11" s="4">
        <v>801.37354385964898</v>
      </c>
      <c r="Q11" s="11">
        <v>3.2035087719298201E-2</v>
      </c>
      <c r="R11" s="11">
        <v>3.0608101700764001E-2</v>
      </c>
      <c r="T11" s="4">
        <f t="shared" si="1"/>
        <v>4.5199999999999997E-2</v>
      </c>
      <c r="U11" s="9">
        <v>2.9794871794871801E-2</v>
      </c>
      <c r="V11" s="9">
        <v>3.2447674060813898E-2</v>
      </c>
      <c r="W11" s="4">
        <v>805.30415384615401</v>
      </c>
      <c r="X11" s="11">
        <v>3.3923076923076903E-2</v>
      </c>
      <c r="Y11" s="11">
        <v>3.68248947655513E-2</v>
      </c>
      <c r="AA11" s="4">
        <f t="shared" si="2"/>
        <v>3.7199999999999997E-2</v>
      </c>
      <c r="AB11" s="9">
        <v>2.1592592592592601E-2</v>
      </c>
      <c r="AC11" s="9">
        <v>2.0834991387011999E-2</v>
      </c>
      <c r="AD11" s="4">
        <v>806.73288888888897</v>
      </c>
      <c r="AE11" s="11">
        <v>2.4777777777777801E-2</v>
      </c>
      <c r="AF11" s="11">
        <v>2.3734644158557201E-2</v>
      </c>
    </row>
    <row r="12" spans="1:32" s="4" customFormat="1" x14ac:dyDescent="0.2">
      <c r="A12" s="4" t="s">
        <v>9</v>
      </c>
      <c r="B12" s="13">
        <v>436</v>
      </c>
      <c r="C12" s="13">
        <v>4.36E-2</v>
      </c>
      <c r="D12" s="13">
        <v>4.36E-2</v>
      </c>
      <c r="E12" s="13">
        <v>19.009599999999999</v>
      </c>
      <c r="G12" s="9">
        <v>2.845E-2</v>
      </c>
      <c r="H12" s="9">
        <v>2.5093334248935801E-2</v>
      </c>
      <c r="I12" s="4">
        <v>430.273216666667</v>
      </c>
      <c r="J12" s="11">
        <v>3.2133333333333298E-2</v>
      </c>
      <c r="K12" s="11">
        <v>2.8261770709136699E-2</v>
      </c>
      <c r="M12" s="4">
        <f t="shared" si="0"/>
        <v>4.6600000000000003E-2</v>
      </c>
      <c r="N12" s="9">
        <v>1.61379310344828E-2</v>
      </c>
      <c r="O12" s="9">
        <v>1.3593662449913099E-2</v>
      </c>
      <c r="P12" s="4">
        <v>435.679431034483</v>
      </c>
      <c r="Q12" s="11">
        <v>1.8258620689655201E-2</v>
      </c>
      <c r="R12" s="11">
        <v>1.54039871175211E-2</v>
      </c>
      <c r="T12" s="4">
        <f t="shared" si="1"/>
        <v>4.8599999999999997E-2</v>
      </c>
      <c r="U12" s="9">
        <v>1.14769230769231E-2</v>
      </c>
      <c r="V12" s="9">
        <v>8.0177687285563001E-3</v>
      </c>
      <c r="W12" s="4">
        <v>432.73687692307698</v>
      </c>
      <c r="X12" s="11">
        <v>1.2953846153846199E-2</v>
      </c>
      <c r="Y12" s="11">
        <v>9.0094234853547398E-3</v>
      </c>
      <c r="AA12" s="4">
        <f t="shared" si="2"/>
        <v>4.0599999999999997E-2</v>
      </c>
      <c r="AB12" s="9">
        <v>8.8571428571428603E-3</v>
      </c>
      <c r="AC12" s="9">
        <v>5.7666852164040602E-3</v>
      </c>
      <c r="AD12" s="4">
        <v>430.53785714285698</v>
      </c>
      <c r="AE12" s="11">
        <v>1.00428571428571E-2</v>
      </c>
      <c r="AF12" s="11">
        <v>6.54844978731434E-3</v>
      </c>
    </row>
    <row r="13" spans="1:32" s="4" customFormat="1" x14ac:dyDescent="0.2">
      <c r="A13" s="4" t="s">
        <v>10</v>
      </c>
      <c r="B13" s="13">
        <v>1250</v>
      </c>
      <c r="C13" s="13">
        <v>4.9599999999999998E-2</v>
      </c>
      <c r="D13" s="13">
        <v>4.9599999999999998E-2</v>
      </c>
      <c r="E13" s="13">
        <v>62</v>
      </c>
      <c r="G13" s="9">
        <v>9.8100000000000007E-2</v>
      </c>
      <c r="H13" s="9">
        <v>8.5976030251331007E-2</v>
      </c>
      <c r="I13" s="4">
        <v>1262.8452</v>
      </c>
      <c r="J13" s="11">
        <v>0.1128</v>
      </c>
      <c r="K13" s="11">
        <v>9.8915002794205995E-2</v>
      </c>
      <c r="M13" s="4">
        <f t="shared" si="0"/>
        <v>5.2600000000000001E-2</v>
      </c>
      <c r="N13" s="9">
        <v>2.9727272727272699E-2</v>
      </c>
      <c r="O13" s="9">
        <v>2.31261363357173E-2</v>
      </c>
      <c r="P13" s="4">
        <v>1250.3927272727301</v>
      </c>
      <c r="Q13" s="11">
        <v>3.4272727272727302E-2</v>
      </c>
      <c r="R13" s="11">
        <v>2.67360838908428E-2</v>
      </c>
      <c r="T13" s="4">
        <f t="shared" si="1"/>
        <v>5.4599999999999996E-2</v>
      </c>
      <c r="U13" s="9">
        <v>2.9444444444444402E-2</v>
      </c>
      <c r="V13" s="9">
        <v>1.6705836325077002E-2</v>
      </c>
      <c r="W13" s="4">
        <v>1254.7085</v>
      </c>
      <c r="X13" s="11">
        <v>3.4000000000000002E-2</v>
      </c>
      <c r="Y13" s="11">
        <v>1.9311684972331902E-2</v>
      </c>
      <c r="AA13" s="4">
        <f t="shared" si="2"/>
        <v>4.6599999999999996E-2</v>
      </c>
      <c r="AB13" s="9">
        <v>2.8956521739130402E-2</v>
      </c>
      <c r="AC13" s="9">
        <v>2.7669277778907101E-2</v>
      </c>
      <c r="AD13" s="4">
        <v>1247.982</v>
      </c>
      <c r="AE13" s="11">
        <v>3.3260869565217399E-2</v>
      </c>
      <c r="AF13" s="11">
        <v>3.18208299293294E-2</v>
      </c>
    </row>
    <row r="14" spans="1:32" s="4" customFormat="1" x14ac:dyDescent="0.2">
      <c r="A14" s="4" t="s">
        <v>11</v>
      </c>
      <c r="B14" s="13">
        <v>2340</v>
      </c>
      <c r="C14" s="13">
        <v>0.1022</v>
      </c>
      <c r="D14" s="13">
        <v>0.1022</v>
      </c>
      <c r="E14" s="13">
        <v>239.148</v>
      </c>
      <c r="G14" s="9">
        <v>0.2155</v>
      </c>
      <c r="H14" s="9">
        <v>0.131250658261655</v>
      </c>
      <c r="I14" s="4">
        <v>2341.40677777778</v>
      </c>
      <c r="J14" s="11">
        <v>0.25044444444444403</v>
      </c>
      <c r="K14" s="11">
        <v>0.15257947677202899</v>
      </c>
      <c r="M14" s="4">
        <f t="shared" si="0"/>
        <v>0.1052</v>
      </c>
      <c r="N14" s="9">
        <v>7.2764705882352995E-2</v>
      </c>
      <c r="O14" s="9">
        <v>5.4569370314037802E-2</v>
      </c>
      <c r="P14" s="4">
        <v>2346.6114705882301</v>
      </c>
      <c r="Q14" s="11">
        <v>8.47058823529412E-2</v>
      </c>
      <c r="R14" s="11">
        <v>6.3341105044317697E-2</v>
      </c>
      <c r="T14" s="4">
        <f t="shared" si="1"/>
        <v>0.1072</v>
      </c>
      <c r="U14" s="9">
        <v>4.8416666666666698E-2</v>
      </c>
      <c r="V14" s="9">
        <v>3.1572307582129699E-2</v>
      </c>
      <c r="W14" s="4">
        <v>2343.9446666666699</v>
      </c>
      <c r="X14" s="11">
        <v>5.6166666666666698E-2</v>
      </c>
      <c r="Y14" s="11">
        <v>3.6613046192786998E-2</v>
      </c>
      <c r="AA14" s="4">
        <f t="shared" si="2"/>
        <v>9.9199999999999997E-2</v>
      </c>
      <c r="AB14" s="9">
        <v>6.6000000000000003E-2</v>
      </c>
      <c r="AC14" s="9">
        <v>0</v>
      </c>
      <c r="AD14" s="4">
        <v>2328.799</v>
      </c>
      <c r="AE14" s="11">
        <v>7.6999999999999999E-2</v>
      </c>
      <c r="AF14" s="11">
        <v>0</v>
      </c>
    </row>
    <row r="15" spans="1:32" s="4" customFormat="1" x14ac:dyDescent="0.2">
      <c r="A15" s="4" t="s">
        <v>12</v>
      </c>
      <c r="B15" s="13">
        <v>2420</v>
      </c>
      <c r="C15" s="13">
        <v>0.12559999999999999</v>
      </c>
      <c r="D15" s="13">
        <v>0.12559999999999999</v>
      </c>
      <c r="E15" s="13">
        <v>303.952</v>
      </c>
      <c r="G15" s="9">
        <v>0.1363</v>
      </c>
      <c r="H15" s="9">
        <v>9.8927458803221902E-2</v>
      </c>
      <c r="I15" s="4">
        <v>2413.1325499999998</v>
      </c>
      <c r="J15" s="11">
        <v>0.1585</v>
      </c>
      <c r="K15" s="11">
        <v>0.115030201983744</v>
      </c>
      <c r="M15" s="4">
        <f t="shared" si="0"/>
        <v>0.12859999999999999</v>
      </c>
      <c r="N15" s="9">
        <v>9.7611111111111107E-2</v>
      </c>
      <c r="O15" s="9">
        <v>9.4424659596258398E-2</v>
      </c>
      <c r="P15" s="4">
        <v>2413.2970555555598</v>
      </c>
      <c r="Q15" s="11">
        <v>0.11377777777777801</v>
      </c>
      <c r="R15" s="11">
        <v>0.10991951898364</v>
      </c>
      <c r="T15" s="4">
        <f t="shared" si="1"/>
        <v>0.13059999999999999</v>
      </c>
      <c r="U15" s="9">
        <v>5.6875000000000002E-2</v>
      </c>
      <c r="V15" s="9">
        <v>5.0538351773677798E-2</v>
      </c>
      <c r="W15" s="4">
        <v>2411.7662500000001</v>
      </c>
      <c r="X15" s="11">
        <v>6.6000000000000003E-2</v>
      </c>
      <c r="Y15" s="11">
        <v>5.8446556784809797E-2</v>
      </c>
      <c r="AA15" s="4">
        <f t="shared" si="2"/>
        <v>0.12259999999999999</v>
      </c>
      <c r="AB15" s="9">
        <v>4.0333333333333297E-2</v>
      </c>
      <c r="AC15" s="9">
        <v>1.7648418248292601E-2</v>
      </c>
      <c r="AD15" s="4">
        <v>2419.1226666666698</v>
      </c>
      <c r="AE15" s="11">
        <v>4.6833333333333303E-2</v>
      </c>
      <c r="AF15" s="11">
        <v>2.0913313144183199E-2</v>
      </c>
    </row>
    <row r="16" spans="1:32" s="4" customFormat="1" x14ac:dyDescent="0.2">
      <c r="A16" s="4" t="s">
        <v>13</v>
      </c>
      <c r="B16" s="13">
        <v>3030</v>
      </c>
      <c r="C16" s="13">
        <v>0.16059999999999999</v>
      </c>
      <c r="D16" s="13">
        <v>0.16059999999999999</v>
      </c>
      <c r="E16" s="13">
        <v>486.61799999999999</v>
      </c>
      <c r="G16" s="9">
        <v>0.150166666666667</v>
      </c>
      <c r="H16" s="9">
        <v>6.8975401851718604E-2</v>
      </c>
      <c r="I16" s="4">
        <v>3026.4289166666699</v>
      </c>
      <c r="J16" s="11">
        <v>0.175416666666667</v>
      </c>
      <c r="K16" s="11">
        <v>8.0717755547376702E-2</v>
      </c>
      <c r="M16" s="4">
        <f t="shared" si="0"/>
        <v>0.1636</v>
      </c>
      <c r="N16" s="9">
        <v>0.11390476190476199</v>
      </c>
      <c r="O16" s="9">
        <v>8.5998200424139595E-2</v>
      </c>
      <c r="P16" s="4">
        <v>3038.8823809523801</v>
      </c>
      <c r="Q16" s="11">
        <v>0.13323809523809499</v>
      </c>
      <c r="R16" s="11">
        <v>0.100565354253791</v>
      </c>
      <c r="T16" s="4">
        <f t="shared" si="1"/>
        <v>0.1656</v>
      </c>
      <c r="U16" s="9">
        <v>8.5095238095238099E-2</v>
      </c>
      <c r="V16" s="9">
        <v>5.9673197301556402E-2</v>
      </c>
      <c r="W16" s="4">
        <v>3039.3827142857099</v>
      </c>
      <c r="X16" s="11">
        <v>9.9238095238095306E-2</v>
      </c>
      <c r="Y16" s="11">
        <v>6.9548475728735307E-2</v>
      </c>
      <c r="AA16" s="4">
        <f t="shared" si="2"/>
        <v>0.15759999999999999</v>
      </c>
      <c r="AB16" s="9">
        <v>8.1714285714285698E-2</v>
      </c>
      <c r="AC16" s="9">
        <v>6.2407381924587398E-2</v>
      </c>
      <c r="AD16" s="4">
        <v>3035.4082142857101</v>
      </c>
      <c r="AE16" s="11">
        <v>9.5428571428571404E-2</v>
      </c>
      <c r="AF16" s="11">
        <v>7.2822982726518506E-2</v>
      </c>
    </row>
    <row r="17" spans="1:36" s="4" customFormat="1" x14ac:dyDescent="0.2">
      <c r="A17" s="4" t="s">
        <v>14</v>
      </c>
      <c r="B17" s="13">
        <v>2870</v>
      </c>
      <c r="C17" s="13">
        <v>0.17560000000000001</v>
      </c>
      <c r="D17" s="13">
        <v>0.17560000000000001</v>
      </c>
      <c r="E17" s="13">
        <v>503.97200000000004</v>
      </c>
      <c r="G17" s="9">
        <v>0.29423809523809502</v>
      </c>
      <c r="H17" s="9">
        <v>0.26446963998952799</v>
      </c>
      <c r="I17" s="4">
        <v>2862.9244761904802</v>
      </c>
      <c r="J17" s="11">
        <v>0.34333333333333299</v>
      </c>
      <c r="K17" s="11">
        <v>0.30845669604230203</v>
      </c>
      <c r="M17" s="4">
        <f t="shared" si="0"/>
        <v>0.17860000000000001</v>
      </c>
      <c r="N17" s="9">
        <v>9.1818181818181799E-2</v>
      </c>
      <c r="O17" s="9">
        <v>7.3816785008003094E-2</v>
      </c>
      <c r="P17" s="4">
        <v>2869.7249090909099</v>
      </c>
      <c r="Q17" s="11">
        <v>0.107090909090909</v>
      </c>
      <c r="R17" s="11">
        <v>8.6192425416240601E-2</v>
      </c>
      <c r="T17" s="4">
        <f t="shared" si="1"/>
        <v>0.18060000000000001</v>
      </c>
      <c r="U17" s="9">
        <v>0.1421</v>
      </c>
      <c r="V17" s="9">
        <v>0.16575782200413799</v>
      </c>
      <c r="W17" s="4">
        <v>2872.9252000000001</v>
      </c>
      <c r="X17" s="11">
        <v>0.16550000000000001</v>
      </c>
      <c r="Y17" s="11">
        <v>0.19311726431828399</v>
      </c>
      <c r="AA17" s="4">
        <f t="shared" si="2"/>
        <v>0.1726</v>
      </c>
      <c r="AB17" s="9">
        <v>7.4285714285714302E-2</v>
      </c>
      <c r="AC17" s="9">
        <v>6.3615287171439897E-2</v>
      </c>
      <c r="AD17" s="4">
        <v>2854.41685714286</v>
      </c>
      <c r="AE17" s="11">
        <v>8.6571428571428605E-2</v>
      </c>
      <c r="AF17" s="11">
        <v>7.4042458861694402E-2</v>
      </c>
    </row>
    <row r="18" spans="1:36" s="4" customFormat="1" x14ac:dyDescent="0.2">
      <c r="A18" s="4" t="s">
        <v>13</v>
      </c>
      <c r="B18" s="13">
        <v>3030</v>
      </c>
      <c r="C18" s="13">
        <v>0.22340000000000002</v>
      </c>
      <c r="D18" s="13">
        <v>0.22340000000000002</v>
      </c>
      <c r="E18" s="13">
        <v>676.90200000000004</v>
      </c>
      <c r="G18" s="9">
        <v>0.150166666666667</v>
      </c>
      <c r="H18" s="9">
        <v>6.8975401851718604E-2</v>
      </c>
      <c r="I18" s="4">
        <v>3026.4289166666699</v>
      </c>
      <c r="J18" s="11">
        <v>0.175416666666667</v>
      </c>
      <c r="K18" s="11">
        <v>8.0717755547376702E-2</v>
      </c>
      <c r="M18" s="4">
        <f t="shared" si="0"/>
        <v>0.22640000000000002</v>
      </c>
      <c r="N18" s="9">
        <v>0.11390476190476199</v>
      </c>
      <c r="O18" s="9">
        <v>8.5998200424139595E-2</v>
      </c>
      <c r="P18" s="4">
        <v>3038.8823809523801</v>
      </c>
      <c r="Q18" s="11">
        <v>0.13323809523809499</v>
      </c>
      <c r="R18" s="11">
        <v>0.100565354253791</v>
      </c>
      <c r="T18" s="4">
        <f t="shared" si="1"/>
        <v>0.22840000000000002</v>
      </c>
      <c r="U18" s="9">
        <v>8.5095238095238099E-2</v>
      </c>
      <c r="V18" s="9">
        <v>5.9673197301556402E-2</v>
      </c>
      <c r="W18" s="4">
        <v>3039.3827142857099</v>
      </c>
      <c r="X18" s="11">
        <v>9.9238095238095306E-2</v>
      </c>
      <c r="Y18" s="11">
        <v>6.9548475728735307E-2</v>
      </c>
      <c r="AA18" s="4">
        <f t="shared" si="2"/>
        <v>0.22040000000000001</v>
      </c>
      <c r="AB18" s="9">
        <v>8.1714285714285698E-2</v>
      </c>
      <c r="AC18" s="9">
        <v>6.2407381924587398E-2</v>
      </c>
      <c r="AD18" s="4">
        <v>3035.4082142857101</v>
      </c>
      <c r="AE18" s="11">
        <v>9.5428571428571404E-2</v>
      </c>
      <c r="AF18" s="11">
        <v>7.2822982726518506E-2</v>
      </c>
    </row>
    <row r="19" spans="1:36" s="4" customFormat="1" x14ac:dyDescent="0.2">
      <c r="A19" s="4" t="s">
        <v>15</v>
      </c>
      <c r="B19" s="13">
        <v>3290</v>
      </c>
      <c r="C19" s="13">
        <v>0.30660000000000004</v>
      </c>
      <c r="D19" s="13">
        <v>0.30660000000000004</v>
      </c>
      <c r="E19" s="13">
        <v>1008.7140000000002</v>
      </c>
      <c r="G19" s="9">
        <v>0.24625925925925901</v>
      </c>
      <c r="H19" s="9">
        <v>0.23179227978658201</v>
      </c>
      <c r="I19" s="4">
        <v>3290.4695185185201</v>
      </c>
      <c r="J19" s="11">
        <v>0.28788888888888903</v>
      </c>
      <c r="K19" s="11">
        <v>0.27102701161626103</v>
      </c>
      <c r="M19" s="4">
        <f t="shared" si="0"/>
        <v>0.30960000000000004</v>
      </c>
      <c r="N19" s="9">
        <v>0.164242424242424</v>
      </c>
      <c r="O19" s="9">
        <v>0.17462066571268001</v>
      </c>
      <c r="P19" s="4">
        <v>3294.5684545454501</v>
      </c>
      <c r="Q19" s="11">
        <v>0.19230303030303</v>
      </c>
      <c r="R19" s="11">
        <v>0.204215799592074</v>
      </c>
      <c r="T19" s="4">
        <f t="shared" si="1"/>
        <v>0.31160000000000004</v>
      </c>
      <c r="U19" s="9">
        <v>0.10581818181818201</v>
      </c>
      <c r="V19" s="9">
        <v>8.3977844751404004E-2</v>
      </c>
      <c r="W19" s="4">
        <v>3284.0608181818202</v>
      </c>
      <c r="X19" s="11">
        <v>0.123484848484848</v>
      </c>
      <c r="Y19" s="11">
        <v>9.8186404739951494E-2</v>
      </c>
      <c r="AA19" s="4">
        <f t="shared" si="2"/>
        <v>0.30360000000000004</v>
      </c>
      <c r="AB19" s="9">
        <v>0.12476</v>
      </c>
      <c r="AC19" s="9">
        <v>0.13887922810845399</v>
      </c>
      <c r="AD19" s="4">
        <v>3294.3929600000001</v>
      </c>
      <c r="AE19" s="11">
        <v>0.14616000000000001</v>
      </c>
      <c r="AF19" s="11">
        <v>0.16257707915529401</v>
      </c>
    </row>
    <row r="20" spans="1:36" s="4" customFormat="1" x14ac:dyDescent="0.2">
      <c r="A20" s="4" t="s">
        <v>38</v>
      </c>
      <c r="F20" s="4" t="s">
        <v>38</v>
      </c>
      <c r="I20" s="4" t="s">
        <v>38</v>
      </c>
      <c r="M20" s="4" t="s">
        <v>38</v>
      </c>
      <c r="P20" s="4" t="s">
        <v>38</v>
      </c>
      <c r="T20" s="4" t="s">
        <v>38</v>
      </c>
      <c r="W20" s="4" t="s">
        <v>38</v>
      </c>
      <c r="AA20" t="s">
        <v>38</v>
      </c>
      <c r="AB20"/>
      <c r="AC20"/>
      <c r="AD20" s="4" t="s">
        <v>38</v>
      </c>
    </row>
    <row r="21" spans="1:36" s="4" customFormat="1" ht="17" thickBot="1" x14ac:dyDescent="0.25">
      <c r="N21" s="4">
        <f>AVERAGE(N7:N19)</f>
        <v>6.0473183739308684E-2</v>
      </c>
      <c r="AA21"/>
      <c r="AB21"/>
      <c r="AC21"/>
    </row>
    <row r="22" spans="1:36" s="6" customFormat="1" x14ac:dyDescent="0.2">
      <c r="A22" s="5"/>
      <c r="B22" s="5" t="s">
        <v>2</v>
      </c>
      <c r="C22" s="5" t="s">
        <v>1</v>
      </c>
      <c r="F22" s="5"/>
      <c r="G22" s="5" t="s">
        <v>60</v>
      </c>
      <c r="H22" s="5" t="s">
        <v>1</v>
      </c>
      <c r="I22" s="5"/>
      <c r="J22" s="5" t="s">
        <v>17</v>
      </c>
      <c r="K22" s="5" t="s">
        <v>1</v>
      </c>
      <c r="M22" s="5"/>
      <c r="N22" s="5" t="s">
        <v>53</v>
      </c>
      <c r="O22" s="5" t="s">
        <v>1</v>
      </c>
      <c r="P22" s="5"/>
      <c r="Q22" s="5" t="s">
        <v>20</v>
      </c>
      <c r="R22" s="5" t="s">
        <v>1</v>
      </c>
      <c r="T22" s="5"/>
      <c r="U22" s="5" t="s">
        <v>54</v>
      </c>
      <c r="V22" s="5" t="s">
        <v>1</v>
      </c>
      <c r="W22" s="5"/>
      <c r="X22" s="5" t="s">
        <v>22</v>
      </c>
      <c r="Y22" s="5" t="s">
        <v>1</v>
      </c>
      <c r="AA22" s="3"/>
      <c r="AB22" s="3" t="s">
        <v>63</v>
      </c>
      <c r="AC22" s="3" t="s">
        <v>1</v>
      </c>
      <c r="AD22" s="5"/>
      <c r="AE22" s="5" t="s">
        <v>24</v>
      </c>
      <c r="AF22" s="5" t="s">
        <v>1</v>
      </c>
      <c r="AH22" s="5"/>
      <c r="AI22" s="5"/>
      <c r="AJ22" s="5"/>
    </row>
    <row r="23" spans="1:36" s="6" customFormat="1" x14ac:dyDescent="0.2">
      <c r="A23" s="6" t="s">
        <v>39</v>
      </c>
      <c r="B23" s="6">
        <v>9.9630769230769245E-2</v>
      </c>
      <c r="C23" s="6">
        <v>9.9630769230769245E-2</v>
      </c>
      <c r="F23" s="6" t="s">
        <v>39</v>
      </c>
      <c r="G23" s="6">
        <v>0.11499544989494193</v>
      </c>
      <c r="H23" s="6">
        <v>9.9630769230769245E-2</v>
      </c>
      <c r="I23" s="6" t="s">
        <v>39</v>
      </c>
      <c r="J23" s="6">
        <v>0.13348126712829181</v>
      </c>
      <c r="K23" s="6">
        <v>9.9630769230769245E-2</v>
      </c>
      <c r="M23" s="6" t="s">
        <v>39</v>
      </c>
      <c r="N23" s="6">
        <v>6.0473183739308684E-2</v>
      </c>
      <c r="O23" s="6">
        <v>9.9630769230769245E-2</v>
      </c>
      <c r="P23" s="6" t="s">
        <v>39</v>
      </c>
      <c r="Q23" s="6">
        <v>7.0327229408215397E-2</v>
      </c>
      <c r="R23" s="6">
        <v>9.9630769230769245E-2</v>
      </c>
      <c r="T23" s="6" t="s">
        <v>39</v>
      </c>
      <c r="U23" s="6">
        <v>4.9223192863429167E-2</v>
      </c>
      <c r="V23" s="6">
        <v>9.9630769230769245E-2</v>
      </c>
      <c r="W23" s="6" t="s">
        <v>39</v>
      </c>
      <c r="X23" s="6">
        <v>5.7098118298265568E-2</v>
      </c>
      <c r="Y23" s="6">
        <v>9.9630769230769245E-2</v>
      </c>
      <c r="AA23" t="s">
        <v>39</v>
      </c>
      <c r="AB23">
        <v>4.4243955495428366E-2</v>
      </c>
      <c r="AC23">
        <v>9.9630769230769245E-2</v>
      </c>
      <c r="AD23" s="6" t="s">
        <v>39</v>
      </c>
      <c r="AE23" s="6">
        <v>5.1420770369465796E-2</v>
      </c>
      <c r="AF23" s="6">
        <v>9.9630769230769245E-2</v>
      </c>
    </row>
    <row r="24" spans="1:36" s="6" customFormat="1" x14ac:dyDescent="0.2">
      <c r="A24" s="6" t="s">
        <v>40</v>
      </c>
      <c r="B24" s="6">
        <v>8.7545723076923061E-3</v>
      </c>
      <c r="C24" s="6">
        <v>8.7545723076923061E-3</v>
      </c>
      <c r="F24" s="6" t="s">
        <v>40</v>
      </c>
      <c r="G24" s="6">
        <v>8.6315536044689681E-3</v>
      </c>
      <c r="H24" s="6">
        <v>8.7545723076923061E-3</v>
      </c>
      <c r="I24" s="6" t="s">
        <v>40</v>
      </c>
      <c r="J24" s="6">
        <v>1.1853740887503017E-2</v>
      </c>
      <c r="K24" s="6">
        <v>8.7545723076923061E-3</v>
      </c>
      <c r="M24" s="6" t="s">
        <v>40</v>
      </c>
      <c r="N24" s="6">
        <v>2.6321957634412494E-3</v>
      </c>
      <c r="O24" s="6">
        <v>8.7545723076923061E-3</v>
      </c>
      <c r="P24" s="6" t="s">
        <v>40</v>
      </c>
      <c r="Q24" s="6">
        <v>3.634170835577931E-3</v>
      </c>
      <c r="R24" s="6">
        <v>8.7545723076923061E-3</v>
      </c>
      <c r="T24" s="6" t="s">
        <v>40</v>
      </c>
      <c r="U24" s="6">
        <v>1.8764475604412187E-3</v>
      </c>
      <c r="V24" s="6">
        <v>8.7545723076923061E-3</v>
      </c>
      <c r="W24" s="6" t="s">
        <v>40</v>
      </c>
      <c r="X24" s="6">
        <v>2.5670905509170366E-3</v>
      </c>
      <c r="Y24" s="6">
        <v>8.7545723076923061E-3</v>
      </c>
      <c r="AA24" t="s">
        <v>40</v>
      </c>
      <c r="AB24">
        <v>1.4174793496522977E-3</v>
      </c>
      <c r="AC24">
        <v>8.7545723076923061E-3</v>
      </c>
      <c r="AD24" s="6" t="s">
        <v>40</v>
      </c>
      <c r="AE24" s="6">
        <v>1.9562982826922311E-3</v>
      </c>
      <c r="AF24" s="6">
        <v>8.7545723076923061E-3</v>
      </c>
    </row>
    <row r="25" spans="1:36" s="6" customFormat="1" x14ac:dyDescent="0.2">
      <c r="A25" s="6" t="s">
        <v>41</v>
      </c>
      <c r="B25" s="6">
        <v>13</v>
      </c>
      <c r="C25" s="6">
        <v>13</v>
      </c>
      <c r="F25" s="6" t="s">
        <v>41</v>
      </c>
      <c r="G25" s="6">
        <v>13</v>
      </c>
      <c r="H25" s="6">
        <v>13</v>
      </c>
      <c r="I25" s="6" t="s">
        <v>41</v>
      </c>
      <c r="J25" s="6">
        <v>13</v>
      </c>
      <c r="K25" s="6">
        <v>13</v>
      </c>
      <c r="M25" s="6" t="s">
        <v>41</v>
      </c>
      <c r="N25" s="6">
        <v>13</v>
      </c>
      <c r="O25" s="6">
        <v>13</v>
      </c>
      <c r="P25" s="6" t="s">
        <v>41</v>
      </c>
      <c r="Q25" s="6">
        <v>13</v>
      </c>
      <c r="R25" s="6">
        <v>13</v>
      </c>
      <c r="T25" s="6" t="s">
        <v>41</v>
      </c>
      <c r="U25" s="6">
        <v>13</v>
      </c>
      <c r="V25" s="6">
        <v>13</v>
      </c>
      <c r="W25" s="6" t="s">
        <v>41</v>
      </c>
      <c r="X25" s="6">
        <v>13</v>
      </c>
      <c r="Y25" s="6">
        <v>13</v>
      </c>
      <c r="AA25" t="s">
        <v>41</v>
      </c>
      <c r="AB25">
        <v>13</v>
      </c>
      <c r="AC25">
        <v>13</v>
      </c>
      <c r="AD25" s="6" t="s">
        <v>41</v>
      </c>
      <c r="AE25" s="6">
        <v>13</v>
      </c>
      <c r="AF25" s="6">
        <v>13</v>
      </c>
    </row>
    <row r="26" spans="1:36" s="6" customFormat="1" x14ac:dyDescent="0.2">
      <c r="A26" s="6" t="s">
        <v>42</v>
      </c>
      <c r="B26" s="6">
        <v>0</v>
      </c>
      <c r="F26" s="6" t="s">
        <v>42</v>
      </c>
      <c r="G26" s="6">
        <v>0</v>
      </c>
      <c r="I26" s="6" t="s">
        <v>42</v>
      </c>
      <c r="J26" s="6">
        <v>0</v>
      </c>
      <c r="M26" s="6" t="s">
        <v>42</v>
      </c>
      <c r="N26" s="6">
        <v>0</v>
      </c>
      <c r="P26" s="6" t="s">
        <v>42</v>
      </c>
      <c r="Q26" s="6">
        <v>0</v>
      </c>
      <c r="T26" s="6" t="s">
        <v>42</v>
      </c>
      <c r="U26" s="6">
        <v>0</v>
      </c>
      <c r="W26" s="6" t="s">
        <v>42</v>
      </c>
      <c r="X26" s="6">
        <v>0</v>
      </c>
      <c r="AA26" t="s">
        <v>42</v>
      </c>
      <c r="AB26">
        <v>0</v>
      </c>
      <c r="AC26"/>
      <c r="AD26" s="6" t="s">
        <v>42</v>
      </c>
      <c r="AE26" s="6">
        <v>0</v>
      </c>
    </row>
    <row r="27" spans="1:36" s="6" customFormat="1" x14ac:dyDescent="0.2">
      <c r="A27" s="6" t="s">
        <v>43</v>
      </c>
      <c r="B27" s="6">
        <v>24</v>
      </c>
      <c r="F27" s="6" t="s">
        <v>43</v>
      </c>
      <c r="G27" s="6">
        <v>24</v>
      </c>
      <c r="I27" s="6" t="s">
        <v>43</v>
      </c>
      <c r="J27" s="6">
        <v>23</v>
      </c>
      <c r="M27" s="6" t="s">
        <v>43</v>
      </c>
      <c r="N27" s="6">
        <v>19</v>
      </c>
      <c r="P27" s="6" t="s">
        <v>43</v>
      </c>
      <c r="Q27" s="6">
        <v>20</v>
      </c>
      <c r="T27" s="6" t="s">
        <v>43</v>
      </c>
      <c r="U27" s="6">
        <v>17</v>
      </c>
      <c r="W27" s="6" t="s">
        <v>43</v>
      </c>
      <c r="X27" s="6">
        <v>18</v>
      </c>
      <c r="AA27" t="s">
        <v>43</v>
      </c>
      <c r="AB27">
        <v>16</v>
      </c>
      <c r="AC27"/>
      <c r="AD27" s="6" t="s">
        <v>43</v>
      </c>
      <c r="AE27" s="6">
        <v>17</v>
      </c>
    </row>
    <row r="28" spans="1:36" s="6" customFormat="1" x14ac:dyDescent="0.2">
      <c r="A28" s="6" t="s">
        <v>44</v>
      </c>
      <c r="B28" s="6">
        <v>0</v>
      </c>
      <c r="F28" s="6" t="s">
        <v>44</v>
      </c>
      <c r="G28" s="6">
        <v>0.42013978060247281</v>
      </c>
      <c r="I28" s="6" t="s">
        <v>44</v>
      </c>
      <c r="J28" s="6">
        <v>0.85018906369868741</v>
      </c>
      <c r="M28" s="6" t="s">
        <v>44</v>
      </c>
      <c r="N28" s="6">
        <v>-1.3230837743087933</v>
      </c>
      <c r="P28" s="6" t="s">
        <v>44</v>
      </c>
      <c r="Q28" s="6">
        <v>-0.94924460472027261</v>
      </c>
      <c r="T28" s="6" t="s">
        <v>44</v>
      </c>
      <c r="U28" s="6">
        <v>-1.7627065893881613</v>
      </c>
      <c r="W28" s="6" t="s">
        <v>44</v>
      </c>
      <c r="X28" s="6">
        <v>-1.4412489998216926</v>
      </c>
      <c r="AA28" t="s">
        <v>44</v>
      </c>
      <c r="AB28">
        <v>-1.9800391603741341</v>
      </c>
      <c r="AC28"/>
      <c r="AD28" s="6" t="s">
        <v>44</v>
      </c>
      <c r="AE28" s="6">
        <v>-1.679563435208755</v>
      </c>
    </row>
    <row r="29" spans="1:36" s="6" customFormat="1" x14ac:dyDescent="0.2">
      <c r="A29" s="6" t="s">
        <v>45</v>
      </c>
      <c r="B29" s="6">
        <v>0.5</v>
      </c>
      <c r="F29" s="6" t="s">
        <v>45</v>
      </c>
      <c r="G29" s="6">
        <v>0.33906052110529999</v>
      </c>
      <c r="I29" s="6" t="s">
        <v>45</v>
      </c>
      <c r="J29" s="6">
        <v>0.20199195707789441</v>
      </c>
      <c r="M29" s="6" t="s">
        <v>45</v>
      </c>
      <c r="N29" s="6">
        <v>0.10075523861693102</v>
      </c>
      <c r="P29" s="6" t="s">
        <v>45</v>
      </c>
      <c r="Q29" s="6">
        <v>0.17691327727966083</v>
      </c>
      <c r="T29" s="6" t="s">
        <v>45</v>
      </c>
      <c r="U29" s="6">
        <v>4.7958543033445135E-2</v>
      </c>
      <c r="W29" s="6" t="s">
        <v>45</v>
      </c>
      <c r="X29" s="6">
        <v>8.3342767976380211E-2</v>
      </c>
      <c r="AA29" t="s">
        <v>45</v>
      </c>
      <c r="AB29">
        <v>3.258257571625759E-2</v>
      </c>
      <c r="AC29"/>
      <c r="AD29" s="6" t="s">
        <v>45</v>
      </c>
      <c r="AE29" s="6">
        <v>5.5662598089505147E-2</v>
      </c>
    </row>
    <row r="30" spans="1:36" s="6" customFormat="1" x14ac:dyDescent="0.2">
      <c r="A30" s="6" t="s">
        <v>46</v>
      </c>
      <c r="B30" s="6">
        <v>1.7108820799094284</v>
      </c>
      <c r="F30" s="6" t="s">
        <v>46</v>
      </c>
      <c r="G30" s="6">
        <v>1.7108820799094284</v>
      </c>
      <c r="I30" s="6" t="s">
        <v>46</v>
      </c>
      <c r="J30" s="6">
        <v>1.7138715277470482</v>
      </c>
      <c r="M30" s="6" t="s">
        <v>46</v>
      </c>
      <c r="N30" s="6">
        <v>1.7291328115213698</v>
      </c>
      <c r="P30" s="6" t="s">
        <v>46</v>
      </c>
      <c r="Q30" s="6">
        <v>1.7247182429207868</v>
      </c>
      <c r="T30" s="6" t="s">
        <v>46</v>
      </c>
      <c r="U30" s="6">
        <v>1.7396067260750732</v>
      </c>
      <c r="W30" s="6" t="s">
        <v>46</v>
      </c>
      <c r="X30" s="6">
        <v>1.7340636066175394</v>
      </c>
      <c r="AA30" t="s">
        <v>46</v>
      </c>
      <c r="AB30">
        <v>1.7458836762762506</v>
      </c>
      <c r="AC30"/>
      <c r="AD30" s="6" t="s">
        <v>46</v>
      </c>
      <c r="AE30" s="6">
        <v>1.7396067260750732</v>
      </c>
    </row>
    <row r="31" spans="1:36" s="6" customFormat="1" x14ac:dyDescent="0.2">
      <c r="A31" s="6" t="s">
        <v>47</v>
      </c>
      <c r="B31" s="6">
        <v>1</v>
      </c>
      <c r="F31" s="6" t="s">
        <v>47</v>
      </c>
      <c r="G31" s="6">
        <v>0.67812104221059999</v>
      </c>
      <c r="I31" s="6" t="s">
        <v>47</v>
      </c>
      <c r="J31" s="6">
        <v>0.40398391415578883</v>
      </c>
      <c r="M31" s="6" t="s">
        <v>47</v>
      </c>
      <c r="N31" s="6">
        <v>0.20151047723386203</v>
      </c>
      <c r="P31" s="6" t="s">
        <v>47</v>
      </c>
      <c r="Q31" s="6">
        <v>0.35382655455932166</v>
      </c>
      <c r="T31" s="6" t="s">
        <v>47</v>
      </c>
      <c r="U31" s="6">
        <v>9.591708606689027E-2</v>
      </c>
      <c r="W31" s="6" t="s">
        <v>47</v>
      </c>
      <c r="X31" s="6">
        <v>0.16668553595276042</v>
      </c>
      <c r="AA31" t="s">
        <v>47</v>
      </c>
      <c r="AB31">
        <v>6.5165151432515181E-2</v>
      </c>
      <c r="AC31"/>
      <c r="AD31" s="6" t="s">
        <v>47</v>
      </c>
      <c r="AE31" s="6">
        <v>0.11132519617901029</v>
      </c>
    </row>
    <row r="32" spans="1:36" s="6" customFormat="1" ht="17" thickBot="1" x14ac:dyDescent="0.25">
      <c r="A32" s="7" t="s">
        <v>48</v>
      </c>
      <c r="B32" s="7">
        <v>2.0638985616280254</v>
      </c>
      <c r="C32" s="7"/>
      <c r="F32" s="7" t="s">
        <v>48</v>
      </c>
      <c r="G32" s="7">
        <v>2.0638985616280254</v>
      </c>
      <c r="H32" s="7"/>
      <c r="I32" s="7" t="s">
        <v>48</v>
      </c>
      <c r="J32" s="7">
        <v>2.0686576104190491</v>
      </c>
      <c r="K32" s="7"/>
      <c r="M32" s="7" t="s">
        <v>48</v>
      </c>
      <c r="N32" s="7">
        <v>2.0930240544083096</v>
      </c>
      <c r="O32" s="7"/>
      <c r="P32" s="7" t="s">
        <v>48</v>
      </c>
      <c r="Q32" s="7">
        <v>2.0859634472658648</v>
      </c>
      <c r="R32" s="7"/>
      <c r="T32" s="7" t="s">
        <v>48</v>
      </c>
      <c r="U32" s="7">
        <v>2.109815577833317</v>
      </c>
      <c r="V32" s="7"/>
      <c r="W32" s="7" t="s">
        <v>48</v>
      </c>
      <c r="X32" s="7">
        <v>2.1009220402410378</v>
      </c>
      <c r="Y32" s="7"/>
      <c r="AA32" s="2" t="s">
        <v>48</v>
      </c>
      <c r="AB32" s="2">
        <v>2.119905299221255</v>
      </c>
      <c r="AC32" s="2"/>
      <c r="AD32" s="7" t="s">
        <v>48</v>
      </c>
      <c r="AE32" s="7">
        <v>2.109815577833317</v>
      </c>
      <c r="AF32" s="7"/>
      <c r="AH32" s="7"/>
      <c r="AI32" s="7"/>
      <c r="AJ32" s="7"/>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E61D6-D73E-0343-93A4-23DEDB555217}">
  <dimension ref="A1:P26"/>
  <sheetViews>
    <sheetView workbookViewId="0">
      <selection activeCell="B6" sqref="B6"/>
    </sheetView>
  </sheetViews>
  <sheetFormatPr baseColWidth="10" defaultRowHeight="16" x14ac:dyDescent="0.2"/>
  <cols>
    <col min="1" max="1" width="29.33203125" customWidth="1"/>
  </cols>
  <sheetData>
    <row r="1" spans="1:16" x14ac:dyDescent="0.2">
      <c r="A1" t="s">
        <v>97</v>
      </c>
    </row>
    <row r="2" spans="1:16" x14ac:dyDescent="0.2">
      <c r="A2" s="12" t="s">
        <v>83</v>
      </c>
      <c r="B2" t="s">
        <v>113</v>
      </c>
    </row>
    <row r="3" spans="1:16" x14ac:dyDescent="0.2">
      <c r="A3" s="8" t="s">
        <v>84</v>
      </c>
    </row>
    <row r="4" spans="1:16" ht="17" customHeight="1" x14ac:dyDescent="0.2">
      <c r="A4" s="10" t="s">
        <v>85</v>
      </c>
    </row>
    <row r="5" spans="1:16" ht="17" customHeight="1" x14ac:dyDescent="0.2">
      <c r="B5" s="44" t="s">
        <v>132</v>
      </c>
    </row>
    <row r="6" spans="1:16" x14ac:dyDescent="0.2">
      <c r="A6" t="s">
        <v>126</v>
      </c>
      <c r="B6" s="8" t="s">
        <v>64</v>
      </c>
      <c r="D6" s="10" t="s">
        <v>65</v>
      </c>
      <c r="F6" s="8" t="s">
        <v>66</v>
      </c>
      <c r="H6" s="10" t="s">
        <v>67</v>
      </c>
      <c r="J6" s="8" t="s">
        <v>68</v>
      </c>
      <c r="L6" s="10" t="s">
        <v>69</v>
      </c>
      <c r="N6" s="8" t="s">
        <v>70</v>
      </c>
      <c r="P6" s="10" t="s">
        <v>70</v>
      </c>
    </row>
    <row r="7" spans="1:16" x14ac:dyDescent="0.2">
      <c r="A7" t="s">
        <v>26</v>
      </c>
      <c r="B7" s="8">
        <v>1.8577999999999999</v>
      </c>
      <c r="D7" s="10">
        <v>2.0649999999999999</v>
      </c>
      <c r="F7" s="8">
        <v>0.893133333333333</v>
      </c>
      <c r="H7" s="10">
        <v>0.99466666666666703</v>
      </c>
      <c r="J7" s="8">
        <v>0.774233333333333</v>
      </c>
      <c r="L7" s="10">
        <v>0.86026666666666696</v>
      </c>
      <c r="N7" s="8">
        <v>0.67879999999999996</v>
      </c>
      <c r="P7" s="10">
        <v>0.75626666666666698</v>
      </c>
    </row>
    <row r="8" spans="1:16" x14ac:dyDescent="0.2">
      <c r="A8" t="s">
        <v>27</v>
      </c>
      <c r="B8" s="8">
        <v>1.76413333333333</v>
      </c>
      <c r="D8" s="10">
        <v>1.95543333333333</v>
      </c>
      <c r="F8" s="8">
        <v>0.82923333333333304</v>
      </c>
      <c r="H8" s="10">
        <v>0.92006666666666703</v>
      </c>
      <c r="J8" s="8">
        <v>0.72950000000000004</v>
      </c>
      <c r="L8" s="10">
        <v>0.80779999999999996</v>
      </c>
      <c r="N8" s="8">
        <v>0.63226666666666698</v>
      </c>
      <c r="P8" s="10">
        <v>0.70193333333333296</v>
      </c>
    </row>
    <row r="9" spans="1:16" x14ac:dyDescent="0.2">
      <c r="A9" t="s">
        <v>28</v>
      </c>
      <c r="B9" s="8">
        <v>3.41103333333333</v>
      </c>
      <c r="D9" s="10">
        <v>3.8245666666666698</v>
      </c>
      <c r="F9" s="8">
        <v>0.81863333333333399</v>
      </c>
      <c r="H9" s="10">
        <v>0.90836666666666699</v>
      </c>
      <c r="J9" s="8">
        <v>0.77596666666666703</v>
      </c>
      <c r="L9" s="10">
        <v>0.86029999999999995</v>
      </c>
      <c r="N9" s="8">
        <v>0.63029999999999997</v>
      </c>
      <c r="P9" s="10">
        <v>0.69969999999999999</v>
      </c>
    </row>
    <row r="10" spans="1:16" x14ac:dyDescent="0.2">
      <c r="A10" t="s">
        <v>29</v>
      </c>
      <c r="B10" s="8">
        <v>149.6234</v>
      </c>
      <c r="D10" s="10">
        <v>173.44470000000001</v>
      </c>
      <c r="F10" s="8">
        <v>3.6213000000000002</v>
      </c>
      <c r="H10" s="10">
        <v>4.1059999999999999</v>
      </c>
      <c r="J10" s="8">
        <v>9.02776666666667</v>
      </c>
      <c r="L10" s="10">
        <v>10.3174333333333</v>
      </c>
      <c r="N10" s="8">
        <v>9.0787999999999993</v>
      </c>
      <c r="P10" s="10">
        <v>10.411899999999999</v>
      </c>
    </row>
    <row r="11" spans="1:16" x14ac:dyDescent="0.2">
      <c r="A11" t="s">
        <v>30</v>
      </c>
      <c r="B11" s="8">
        <v>737.36419999999998</v>
      </c>
      <c r="D11" s="10">
        <v>864.44856666666703</v>
      </c>
      <c r="F11" s="8">
        <v>569.89136666666695</v>
      </c>
      <c r="H11" s="10">
        <v>670.381933333333</v>
      </c>
      <c r="J11" s="8">
        <v>435.16073333333298</v>
      </c>
      <c r="L11" s="10">
        <v>511.37569999999999</v>
      </c>
      <c r="N11" s="8">
        <v>275.38690000000003</v>
      </c>
      <c r="P11" s="10">
        <v>323.506233333333</v>
      </c>
    </row>
    <row r="12" spans="1:16" x14ac:dyDescent="0.2">
      <c r="A12" t="s">
        <v>31</v>
      </c>
      <c r="B12" s="8">
        <v>575.12973333333298</v>
      </c>
      <c r="D12" s="10">
        <v>675.129633333333</v>
      </c>
      <c r="F12" s="8">
        <v>730.79486666666696</v>
      </c>
      <c r="H12" s="10">
        <v>860.74749999999995</v>
      </c>
      <c r="J12" s="8">
        <v>1108.04183333333</v>
      </c>
      <c r="L12" s="10">
        <v>1310.8632333333301</v>
      </c>
      <c r="N12" s="8">
        <v>1069.2561333333299</v>
      </c>
      <c r="P12" s="10">
        <v>1267.7311</v>
      </c>
    </row>
    <row r="13" spans="1:16" x14ac:dyDescent="0.2">
      <c r="A13" t="s">
        <v>32</v>
      </c>
      <c r="B13" s="8">
        <v>196.40473333333301</v>
      </c>
      <c r="D13" s="10">
        <v>229.254166666667</v>
      </c>
      <c r="F13" s="8">
        <v>319.45156666666702</v>
      </c>
      <c r="H13" s="10">
        <v>374.75110000000001</v>
      </c>
      <c r="J13" s="8">
        <v>352.03553333333298</v>
      </c>
      <c r="L13" s="10">
        <v>413.49779999999998</v>
      </c>
      <c r="N13" s="8">
        <v>421.35770000000002</v>
      </c>
      <c r="P13" s="10">
        <v>496.48046666666698</v>
      </c>
    </row>
    <row r="14" spans="1:16" x14ac:dyDescent="0.2">
      <c r="A14" t="s">
        <v>33</v>
      </c>
      <c r="B14" s="8">
        <v>107.23586666666699</v>
      </c>
      <c r="D14" s="10">
        <v>124.3849</v>
      </c>
      <c r="F14" s="8">
        <v>324.20440000000002</v>
      </c>
      <c r="H14" s="10">
        <v>382.04716666666701</v>
      </c>
      <c r="J14" s="8">
        <v>147.452433333333</v>
      </c>
      <c r="L14" s="10">
        <v>172.47256666666701</v>
      </c>
      <c r="N14" s="8">
        <v>287.43026666666702</v>
      </c>
      <c r="P14" s="10">
        <v>338.90956666666699</v>
      </c>
    </row>
    <row r="15" spans="1:16" x14ac:dyDescent="0.2">
      <c r="A15" t="s">
        <v>34</v>
      </c>
      <c r="B15" s="8">
        <v>206.126933333333</v>
      </c>
      <c r="D15" s="10">
        <v>241.3398</v>
      </c>
      <c r="F15" s="8">
        <v>194.69513333333299</v>
      </c>
      <c r="H15" s="10">
        <v>229.17383333333299</v>
      </c>
      <c r="J15" s="8">
        <v>127.38873333333299</v>
      </c>
      <c r="L15" s="10">
        <v>149.040766666667</v>
      </c>
      <c r="N15" s="8">
        <v>132.0763</v>
      </c>
      <c r="P15" s="10">
        <v>154.6309</v>
      </c>
    </row>
    <row r="16" spans="1:16" x14ac:dyDescent="0.2">
      <c r="A16" t="s">
        <v>35</v>
      </c>
      <c r="B16" s="8">
        <v>116.7945</v>
      </c>
      <c r="D16" s="10">
        <v>136.2388</v>
      </c>
      <c r="F16" s="8">
        <v>29.9599333333333</v>
      </c>
      <c r="H16" s="10">
        <v>34.7443666666667</v>
      </c>
      <c r="J16" s="8">
        <v>34.213299999999997</v>
      </c>
      <c r="L16" s="10">
        <v>39.784966666666698</v>
      </c>
      <c r="N16" s="8">
        <v>50.9371333333333</v>
      </c>
      <c r="P16" s="10">
        <v>59.554866666666697</v>
      </c>
    </row>
    <row r="17" spans="1:16" x14ac:dyDescent="0.2">
      <c r="A17" t="s">
        <v>36</v>
      </c>
      <c r="B17" s="8">
        <v>4.01406666666667</v>
      </c>
      <c r="D17" s="10">
        <v>4.56206666666667</v>
      </c>
      <c r="F17" s="8">
        <v>1.02176666666667</v>
      </c>
      <c r="H17" s="10">
        <v>1.1384000000000001</v>
      </c>
      <c r="J17" s="8">
        <v>0.829633333333333</v>
      </c>
      <c r="L17" s="10">
        <v>0.92106666666666703</v>
      </c>
      <c r="N17" s="8">
        <v>0.68516666666666703</v>
      </c>
      <c r="P17" s="10">
        <v>0.76139999999999997</v>
      </c>
    </row>
    <row r="18" spans="1:16" x14ac:dyDescent="0.2">
      <c r="A18" t="s">
        <v>37</v>
      </c>
      <c r="B18" s="8">
        <v>1.7586999999999999</v>
      </c>
      <c r="D18" s="10">
        <v>1.94916666666667</v>
      </c>
      <c r="F18" s="8">
        <v>0.82983333333333298</v>
      </c>
      <c r="H18" s="10">
        <v>0.92063333333333297</v>
      </c>
      <c r="J18" s="8">
        <v>0.72166666666666601</v>
      </c>
      <c r="L18" s="10">
        <v>0.79890000000000005</v>
      </c>
      <c r="N18" s="8">
        <v>0.63113333333333299</v>
      </c>
      <c r="P18" s="10">
        <v>0.700566666666667</v>
      </c>
    </row>
    <row r="19" spans="1:16" x14ac:dyDescent="0.2">
      <c r="B19" s="8"/>
      <c r="D19" s="10"/>
      <c r="F19" s="8"/>
      <c r="H19" s="10"/>
      <c r="J19" s="8"/>
      <c r="L19" s="10"/>
      <c r="N19" s="8"/>
      <c r="P19" s="10"/>
    </row>
    <row r="20" spans="1:16" x14ac:dyDescent="0.2">
      <c r="B20" s="8" t="s">
        <v>39</v>
      </c>
      <c r="D20" s="10" t="s">
        <v>39</v>
      </c>
      <c r="F20" s="8" t="s">
        <v>39</v>
      </c>
      <c r="H20" s="10" t="s">
        <v>39</v>
      </c>
      <c r="J20" s="8" t="s">
        <v>39</v>
      </c>
      <c r="L20" s="10" t="s">
        <v>39</v>
      </c>
      <c r="N20" s="8" t="s">
        <v>39</v>
      </c>
      <c r="P20" s="10" t="s">
        <v>39</v>
      </c>
    </row>
    <row r="21" spans="1:16" x14ac:dyDescent="0.2">
      <c r="B21" s="8">
        <v>175.12375833333326</v>
      </c>
      <c r="D21" s="10">
        <v>204.88306666666674</v>
      </c>
      <c r="F21" s="8">
        <v>181.41759722222227</v>
      </c>
      <c r="H21" s="10">
        <v>213.40283611111104</v>
      </c>
      <c r="J21" s="8">
        <v>184.76261111111077</v>
      </c>
      <c r="L21" s="10">
        <v>217.63339999999974</v>
      </c>
      <c r="N21" s="8">
        <v>187.39840833333309</v>
      </c>
      <c r="P21" s="10">
        <v>221.23707500000009</v>
      </c>
    </row>
    <row r="22" spans="1:16" x14ac:dyDescent="0.2">
      <c r="C22" t="s">
        <v>111</v>
      </c>
      <c r="G22" t="s">
        <v>111</v>
      </c>
      <c r="K22" t="s">
        <v>111</v>
      </c>
      <c r="O22" t="s">
        <v>111</v>
      </c>
    </row>
    <row r="23" spans="1:16" x14ac:dyDescent="0.2">
      <c r="C23">
        <v>29.759308333333479</v>
      </c>
      <c r="G23">
        <v>31.985238888888773</v>
      </c>
      <c r="K23">
        <v>32.870788888888967</v>
      </c>
      <c r="O23">
        <v>33.838666666666995</v>
      </c>
    </row>
    <row r="24" spans="1:16" x14ac:dyDescent="0.2">
      <c r="C24">
        <f>C23/B21</f>
        <v>0.16993301546606346</v>
      </c>
      <c r="G24">
        <f>G23/F21</f>
        <v>0.17630725673049993</v>
      </c>
      <c r="K24">
        <f>K23/J21</f>
        <v>0.17790822878727042</v>
      </c>
      <c r="O24">
        <f>O23/N21</f>
        <v>0.18057072612098601</v>
      </c>
    </row>
    <row r="25" spans="1:16" x14ac:dyDescent="0.2">
      <c r="F25" t="s">
        <v>112</v>
      </c>
      <c r="J25" t="s">
        <v>112</v>
      </c>
      <c r="N25" t="s">
        <v>112</v>
      </c>
    </row>
    <row r="26" spans="1:16" x14ac:dyDescent="0.2">
      <c r="F26">
        <f>F21-B21</f>
        <v>6.2938388888890131</v>
      </c>
      <c r="J26">
        <f>J21-B21</f>
        <v>9.6388527777775153</v>
      </c>
      <c r="N26">
        <f>N21-B21</f>
        <v>12.274649999999838</v>
      </c>
    </row>
  </sheetData>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28AD5-2533-EA40-A395-68DF520DE955}">
  <dimension ref="A1:M369"/>
  <sheetViews>
    <sheetView workbookViewId="0">
      <selection activeCell="H7" sqref="H7"/>
    </sheetView>
  </sheetViews>
  <sheetFormatPr baseColWidth="10" defaultRowHeight="16" x14ac:dyDescent="0.2"/>
  <cols>
    <col min="1" max="1" width="30.6640625" customWidth="1"/>
    <col min="2" max="2" width="15.33203125" customWidth="1"/>
    <col min="4" max="4" width="15.6640625" customWidth="1"/>
  </cols>
  <sheetData>
    <row r="1" spans="1:13" x14ac:dyDescent="0.2">
      <c r="A1" t="s">
        <v>115</v>
      </c>
    </row>
    <row r="2" spans="1:13" x14ac:dyDescent="0.2">
      <c r="A2" t="s">
        <v>98</v>
      </c>
    </row>
    <row r="3" spans="1:13" x14ac:dyDescent="0.2">
      <c r="A3" s="12" t="s">
        <v>83</v>
      </c>
      <c r="B3" t="s">
        <v>113</v>
      </c>
    </row>
    <row r="4" spans="1:13" x14ac:dyDescent="0.2">
      <c r="A4" s="8" t="s">
        <v>84</v>
      </c>
    </row>
    <row r="5" spans="1:13" x14ac:dyDescent="0.2">
      <c r="A5" s="10" t="s">
        <v>110</v>
      </c>
    </row>
    <row r="6" spans="1:13" x14ac:dyDescent="0.2">
      <c r="A6" s="17"/>
      <c r="B6" s="43" t="s">
        <v>129</v>
      </c>
      <c r="C6" s="18"/>
      <c r="D6" s="18"/>
      <c r="E6" s="19"/>
      <c r="H6" s="41" t="s">
        <v>131</v>
      </c>
      <c r="I6" s="18"/>
      <c r="J6" s="18"/>
      <c r="K6" s="18"/>
      <c r="L6" s="38"/>
      <c r="M6" s="19"/>
    </row>
    <row r="7" spans="1:13" x14ac:dyDescent="0.2">
      <c r="A7" s="20"/>
      <c r="B7" t="s">
        <v>49</v>
      </c>
      <c r="C7" t="s">
        <v>39</v>
      </c>
      <c r="D7" t="s">
        <v>49</v>
      </c>
      <c r="E7" t="s">
        <v>39</v>
      </c>
      <c r="H7" s="20" t="s">
        <v>49</v>
      </c>
      <c r="J7" s="10" t="s">
        <v>50</v>
      </c>
      <c r="L7" s="39" t="s">
        <v>51</v>
      </c>
      <c r="M7" s="21"/>
    </row>
    <row r="8" spans="1:13" x14ac:dyDescent="0.2">
      <c r="A8" s="20" t="s">
        <v>127</v>
      </c>
      <c r="B8" s="10" t="s">
        <v>77</v>
      </c>
      <c r="C8">
        <v>245.02910277777781</v>
      </c>
      <c r="D8" s="8" t="s">
        <v>77</v>
      </c>
      <c r="E8" s="21">
        <v>263.71345555555553</v>
      </c>
      <c r="H8" s="22" t="s">
        <v>77</v>
      </c>
      <c r="I8" t="s">
        <v>39</v>
      </c>
      <c r="J8" s="10" t="s">
        <v>77</v>
      </c>
      <c r="K8" t="s">
        <v>39</v>
      </c>
      <c r="L8" s="39" t="s">
        <v>77</v>
      </c>
      <c r="M8" t="s">
        <v>39</v>
      </c>
    </row>
    <row r="9" spans="1:13" x14ac:dyDescent="0.2">
      <c r="A9" s="20"/>
      <c r="B9" s="10" t="s">
        <v>78</v>
      </c>
      <c r="D9" s="8" t="s">
        <v>130</v>
      </c>
      <c r="E9" s="21"/>
      <c r="H9" s="22" t="s">
        <v>78</v>
      </c>
      <c r="I9">
        <f>AVERAGE(H:H)</f>
        <v>245.02910277777781</v>
      </c>
      <c r="J9" s="10" t="s">
        <v>78</v>
      </c>
      <c r="K9">
        <f>AVERAGE(J:J)</f>
        <v>235.50906666666666</v>
      </c>
      <c r="L9" s="39" t="s">
        <v>78</v>
      </c>
      <c r="M9" s="21">
        <f>AVERAGE(L:L)</f>
        <v>246.59937777777773</v>
      </c>
    </row>
    <row r="10" spans="1:13" x14ac:dyDescent="0.2">
      <c r="A10" s="20" t="s">
        <v>26</v>
      </c>
      <c r="B10" s="10">
        <v>27.707999999999998</v>
      </c>
      <c r="D10" s="8">
        <v>28.73</v>
      </c>
      <c r="E10" s="21">
        <v>18.684352777777718</v>
      </c>
      <c r="H10" s="22">
        <v>27.707999999999998</v>
      </c>
      <c r="J10" s="10">
        <v>22.193000000000001</v>
      </c>
      <c r="L10" s="39">
        <v>12.597</v>
      </c>
      <c r="M10" s="21"/>
    </row>
    <row r="11" spans="1:13" x14ac:dyDescent="0.2">
      <c r="A11" s="20" t="s">
        <v>27</v>
      </c>
      <c r="B11" s="10">
        <v>39.177999999999997</v>
      </c>
      <c r="D11" s="8">
        <v>40.756</v>
      </c>
      <c r="E11" s="21">
        <v>7.0850964879346306E-2</v>
      </c>
      <c r="H11" s="22">
        <v>39.177999999999997</v>
      </c>
      <c r="J11" s="10">
        <v>50.970999999999997</v>
      </c>
      <c r="K11" t="s">
        <v>71</v>
      </c>
      <c r="L11" s="39">
        <v>89.801000000000002</v>
      </c>
      <c r="M11" s="21" t="s">
        <v>71</v>
      </c>
    </row>
    <row r="12" spans="1:13" x14ac:dyDescent="0.2">
      <c r="A12" s="20" t="s">
        <v>28</v>
      </c>
      <c r="B12" s="10">
        <v>104.17700000000001</v>
      </c>
      <c r="D12" s="8">
        <v>109.93</v>
      </c>
      <c r="E12" s="21">
        <v>7.6253606473525568E-2</v>
      </c>
      <c r="H12" s="22">
        <v>104.17700000000001</v>
      </c>
      <c r="J12" s="10">
        <v>35.665999999999997</v>
      </c>
      <c r="K12">
        <f>K9-I9</f>
        <v>-9.5200361111111533</v>
      </c>
      <c r="L12" s="39">
        <v>89.271000000000001</v>
      </c>
      <c r="M12" s="21">
        <f>M9-I9</f>
        <v>1.5702749999999241</v>
      </c>
    </row>
    <row r="13" spans="1:13" x14ac:dyDescent="0.2">
      <c r="A13" s="20" t="s">
        <v>29</v>
      </c>
      <c r="B13" s="10">
        <v>361.48599999999999</v>
      </c>
      <c r="D13" s="8">
        <v>386.42700000000002</v>
      </c>
      <c r="E13" s="21"/>
      <c r="H13" s="22">
        <v>361.48599999999999</v>
      </c>
      <c r="J13" s="10">
        <v>207.89599999999999</v>
      </c>
      <c r="L13" s="39">
        <v>351.46300000000002</v>
      </c>
      <c r="M13" s="21"/>
    </row>
    <row r="14" spans="1:13" x14ac:dyDescent="0.2">
      <c r="A14" s="20" t="s">
        <v>30</v>
      </c>
      <c r="B14" s="10">
        <v>195.19499999999999</v>
      </c>
      <c r="D14" s="8">
        <v>208.32400000000001</v>
      </c>
      <c r="E14" s="21"/>
      <c r="H14" s="22">
        <v>195.19499999999999</v>
      </c>
      <c r="J14" s="10">
        <v>265.86700000000002</v>
      </c>
      <c r="L14" s="39">
        <v>157.90199999999999</v>
      </c>
      <c r="M14" s="21"/>
    </row>
    <row r="15" spans="1:13" x14ac:dyDescent="0.2">
      <c r="A15" s="20" t="s">
        <v>31</v>
      </c>
      <c r="B15" s="10">
        <v>135.108</v>
      </c>
      <c r="D15" s="8">
        <v>143.096</v>
      </c>
      <c r="E15" s="21"/>
      <c r="H15" s="22">
        <v>135.108</v>
      </c>
      <c r="J15" s="10">
        <v>151.53800000000001</v>
      </c>
      <c r="L15" s="39">
        <v>171.17500000000001</v>
      </c>
      <c r="M15" s="21"/>
    </row>
    <row r="16" spans="1:13" x14ac:dyDescent="0.2">
      <c r="A16" s="20" t="s">
        <v>32</v>
      </c>
      <c r="B16" s="10">
        <v>179.80199999999999</v>
      </c>
      <c r="D16" s="8">
        <v>190.905</v>
      </c>
      <c r="E16" s="21"/>
      <c r="H16" s="22">
        <v>179.80199999999999</v>
      </c>
      <c r="J16" s="10">
        <v>64.739000000000004</v>
      </c>
      <c r="L16" s="39">
        <v>82.637</v>
      </c>
      <c r="M16" s="21"/>
    </row>
    <row r="17" spans="1:13" x14ac:dyDescent="0.2">
      <c r="A17" s="20" t="s">
        <v>33</v>
      </c>
      <c r="B17" s="10">
        <v>223.16399999999999</v>
      </c>
      <c r="D17" s="8">
        <v>237.59299999999999</v>
      </c>
      <c r="E17" s="21"/>
      <c r="H17" s="22">
        <v>223.16399999999999</v>
      </c>
      <c r="J17" s="10">
        <v>208.50299999999999</v>
      </c>
      <c r="L17" s="39">
        <v>199.55799999999999</v>
      </c>
      <c r="M17" s="21"/>
    </row>
    <row r="18" spans="1:13" x14ac:dyDescent="0.2">
      <c r="A18" s="20" t="s">
        <v>34</v>
      </c>
      <c r="B18" s="10">
        <v>595.125</v>
      </c>
      <c r="D18" s="8">
        <v>648.42499999999995</v>
      </c>
      <c r="E18" s="21"/>
      <c r="H18" s="22">
        <v>595.125</v>
      </c>
      <c r="J18" s="10">
        <v>508.10199999999998</v>
      </c>
      <c r="L18" s="39">
        <v>457.91300000000001</v>
      </c>
      <c r="M18" s="21"/>
    </row>
    <row r="19" spans="1:13" x14ac:dyDescent="0.2">
      <c r="A19" s="20" t="s">
        <v>35</v>
      </c>
      <c r="B19" s="10">
        <v>510.423</v>
      </c>
      <c r="D19" s="8">
        <v>552.97</v>
      </c>
      <c r="E19" s="21"/>
      <c r="H19" s="22">
        <v>510.423</v>
      </c>
      <c r="J19" s="10">
        <v>265.80599999999998</v>
      </c>
      <c r="L19" s="39">
        <v>361.51</v>
      </c>
      <c r="M19" s="21"/>
    </row>
    <row r="20" spans="1:13" x14ac:dyDescent="0.2">
      <c r="A20" s="20" t="s">
        <v>36</v>
      </c>
      <c r="B20" s="10">
        <v>83.697000000000003</v>
      </c>
      <c r="D20" s="8">
        <v>88.671999999999997</v>
      </c>
      <c r="E20" s="21"/>
      <c r="H20" s="22">
        <v>83.697000000000003</v>
      </c>
      <c r="J20" s="10">
        <v>167.154</v>
      </c>
      <c r="L20" s="39">
        <v>210.33600000000001</v>
      </c>
      <c r="M20" s="21"/>
    </row>
    <row r="21" spans="1:13" x14ac:dyDescent="0.2">
      <c r="A21" s="20" t="s">
        <v>37</v>
      </c>
      <c r="B21" s="10">
        <v>28.125</v>
      </c>
      <c r="D21" s="8">
        <v>29.318999999999999</v>
      </c>
      <c r="E21" s="21"/>
      <c r="H21" s="22">
        <v>28.125</v>
      </c>
      <c r="J21" s="10">
        <v>64.543999999999997</v>
      </c>
      <c r="L21" s="39">
        <v>49.417999999999999</v>
      </c>
      <c r="M21" s="21"/>
    </row>
    <row r="22" spans="1:13" x14ac:dyDescent="0.2">
      <c r="A22" s="20" t="s">
        <v>26</v>
      </c>
      <c r="B22" s="10">
        <v>14.807</v>
      </c>
      <c r="D22" s="8">
        <v>15.125999999999999</v>
      </c>
      <c r="E22" s="21"/>
      <c r="H22" s="22">
        <v>14.807</v>
      </c>
      <c r="J22" s="10">
        <v>8.734</v>
      </c>
      <c r="L22" s="39">
        <v>8.4429999999999996</v>
      </c>
      <c r="M22" s="21"/>
    </row>
    <row r="23" spans="1:13" x14ac:dyDescent="0.2">
      <c r="A23" s="20" t="s">
        <v>27</v>
      </c>
      <c r="B23" s="10">
        <v>47.923000000000002</v>
      </c>
      <c r="D23" s="8">
        <v>50.164000000000001</v>
      </c>
      <c r="E23" s="21"/>
      <c r="H23" s="22">
        <v>47.923000000000002</v>
      </c>
      <c r="J23" s="10">
        <v>17.998000000000001</v>
      </c>
      <c r="L23" s="39">
        <v>14.215999999999999</v>
      </c>
      <c r="M23" s="21"/>
    </row>
    <row r="24" spans="1:13" x14ac:dyDescent="0.2">
      <c r="A24" s="20" t="s">
        <v>28</v>
      </c>
      <c r="B24" s="10">
        <v>60.832999999999998</v>
      </c>
      <c r="D24" s="8">
        <v>63.639000000000003</v>
      </c>
      <c r="E24" s="21"/>
      <c r="H24" s="22">
        <v>60.832999999999998</v>
      </c>
      <c r="J24" s="10">
        <v>17.393000000000001</v>
      </c>
      <c r="L24" s="39">
        <v>48.335000000000001</v>
      </c>
      <c r="M24" s="21"/>
    </row>
    <row r="25" spans="1:13" x14ac:dyDescent="0.2">
      <c r="A25" s="20" t="s">
        <v>29</v>
      </c>
      <c r="B25" s="10">
        <v>192.179</v>
      </c>
      <c r="D25" s="8">
        <v>204.99799999999999</v>
      </c>
      <c r="E25" s="21"/>
      <c r="H25" s="22">
        <v>192.179</v>
      </c>
      <c r="J25" s="10">
        <v>107.087</v>
      </c>
      <c r="L25" s="39">
        <v>151.804</v>
      </c>
      <c r="M25" s="21"/>
    </row>
    <row r="26" spans="1:13" x14ac:dyDescent="0.2">
      <c r="A26" s="20" t="s">
        <v>30</v>
      </c>
      <c r="B26" s="10">
        <v>489.28</v>
      </c>
      <c r="D26" s="8">
        <v>528.37300000000005</v>
      </c>
      <c r="E26" s="21"/>
      <c r="H26" s="22">
        <v>489.28</v>
      </c>
      <c r="J26" s="10">
        <v>429.83300000000003</v>
      </c>
      <c r="L26" s="39">
        <v>339.46199999999999</v>
      </c>
      <c r="M26" s="21"/>
    </row>
    <row r="27" spans="1:13" x14ac:dyDescent="0.2">
      <c r="A27" s="20" t="s">
        <v>31</v>
      </c>
      <c r="B27" s="10">
        <v>311.17</v>
      </c>
      <c r="D27" s="8">
        <v>332.49900000000002</v>
      </c>
      <c r="E27" s="21"/>
      <c r="H27" s="22">
        <v>311.17</v>
      </c>
      <c r="J27" s="10">
        <v>381.125</v>
      </c>
      <c r="L27" s="39">
        <v>420.75799999999998</v>
      </c>
      <c r="M27" s="21"/>
    </row>
    <row r="28" spans="1:13" x14ac:dyDescent="0.2">
      <c r="A28" s="20" t="s">
        <v>32</v>
      </c>
      <c r="B28" s="10">
        <v>279.95999999999998</v>
      </c>
      <c r="D28" s="8">
        <v>300.91899999999998</v>
      </c>
      <c r="E28" s="21"/>
      <c r="H28" s="22">
        <v>279.95999999999998</v>
      </c>
      <c r="J28" s="10">
        <v>229.727</v>
      </c>
      <c r="L28" s="39">
        <v>289.51799999999997</v>
      </c>
      <c r="M28" s="21"/>
    </row>
    <row r="29" spans="1:13" x14ac:dyDescent="0.2">
      <c r="A29" s="20" t="s">
        <v>33</v>
      </c>
      <c r="B29" s="10">
        <v>230.88300000000001</v>
      </c>
      <c r="D29" s="8">
        <v>247.60499999999999</v>
      </c>
      <c r="E29" s="21"/>
      <c r="H29" s="22">
        <v>230.88300000000001</v>
      </c>
      <c r="J29" s="10">
        <v>287.18099999999998</v>
      </c>
      <c r="L29" s="39">
        <v>264.33100000000002</v>
      </c>
      <c r="M29" s="21"/>
    </row>
    <row r="30" spans="1:13" x14ac:dyDescent="0.2">
      <c r="A30" s="20" t="s">
        <v>34</v>
      </c>
      <c r="B30" s="10">
        <v>313.25599999999997</v>
      </c>
      <c r="D30" s="8">
        <v>341.37299999999999</v>
      </c>
      <c r="E30" s="21"/>
      <c r="H30" s="22">
        <v>313.25599999999997</v>
      </c>
      <c r="J30" s="10">
        <v>250.375</v>
      </c>
      <c r="L30" s="39">
        <v>239.45599999999999</v>
      </c>
      <c r="M30" s="21"/>
    </row>
    <row r="31" spans="1:13" x14ac:dyDescent="0.2">
      <c r="A31" s="20" t="s">
        <v>35</v>
      </c>
      <c r="B31" s="10">
        <v>306.35000000000002</v>
      </c>
      <c r="D31" s="8">
        <v>331.61200000000002</v>
      </c>
      <c r="E31" s="21"/>
      <c r="H31" s="22">
        <v>306.35000000000002</v>
      </c>
      <c r="J31" s="10">
        <v>208.82499999999999</v>
      </c>
      <c r="L31" s="39">
        <v>277.23899999999998</v>
      </c>
      <c r="M31" s="21"/>
    </row>
    <row r="32" spans="1:13" x14ac:dyDescent="0.2">
      <c r="A32" s="20" t="s">
        <v>36</v>
      </c>
      <c r="B32" s="10">
        <v>101.15300000000001</v>
      </c>
      <c r="D32" s="8">
        <v>107.07</v>
      </c>
      <c r="E32" s="21"/>
      <c r="H32" s="22">
        <v>101.15300000000001</v>
      </c>
      <c r="J32" s="10">
        <v>120.80200000000001</v>
      </c>
      <c r="L32" s="39">
        <v>228.57300000000001</v>
      </c>
      <c r="M32" s="21"/>
    </row>
    <row r="33" spans="1:13" x14ac:dyDescent="0.2">
      <c r="A33" s="20" t="s">
        <v>37</v>
      </c>
      <c r="B33" s="10">
        <v>31.553999999999998</v>
      </c>
      <c r="D33" s="8">
        <v>32.875</v>
      </c>
      <c r="E33" s="21"/>
      <c r="H33" s="22">
        <v>31.553999999999998</v>
      </c>
      <c r="J33" s="10">
        <v>27.38</v>
      </c>
      <c r="L33" s="39">
        <v>17.925999999999998</v>
      </c>
      <c r="M33" s="21"/>
    </row>
    <row r="34" spans="1:13" x14ac:dyDescent="0.2">
      <c r="A34" s="20" t="s">
        <v>26</v>
      </c>
      <c r="B34" s="10">
        <v>52.707999999999998</v>
      </c>
      <c r="D34" s="8">
        <v>55.524999999999999</v>
      </c>
      <c r="E34" s="21"/>
      <c r="H34" s="22">
        <v>52.707999999999998</v>
      </c>
      <c r="J34" s="10">
        <v>6.2839999999999998</v>
      </c>
      <c r="L34" s="39">
        <v>8.0950000000000006</v>
      </c>
      <c r="M34" s="21"/>
    </row>
    <row r="35" spans="1:13" x14ac:dyDescent="0.2">
      <c r="A35" s="20" t="s">
        <v>27</v>
      </c>
      <c r="B35" s="10">
        <v>28.931000000000001</v>
      </c>
      <c r="D35" s="8">
        <v>29.949000000000002</v>
      </c>
      <c r="E35" s="21"/>
      <c r="H35" s="22">
        <v>28.931000000000001</v>
      </c>
      <c r="J35" s="10">
        <v>19.635000000000002</v>
      </c>
      <c r="L35" s="39">
        <v>24.213999999999999</v>
      </c>
      <c r="M35" s="21"/>
    </row>
    <row r="36" spans="1:13" x14ac:dyDescent="0.2">
      <c r="A36" s="20" t="s">
        <v>28</v>
      </c>
      <c r="B36" s="10">
        <v>111.83499999999999</v>
      </c>
      <c r="D36" s="8">
        <v>119.23699999999999</v>
      </c>
      <c r="E36" s="21"/>
      <c r="H36" s="22">
        <v>111.83499999999999</v>
      </c>
      <c r="J36" s="10">
        <v>48.98</v>
      </c>
      <c r="L36" s="39">
        <v>405.39400000000001</v>
      </c>
      <c r="M36" s="21"/>
    </row>
    <row r="37" spans="1:13" x14ac:dyDescent="0.2">
      <c r="A37" s="20" t="s">
        <v>29</v>
      </c>
      <c r="B37" s="10">
        <v>285.12200000000001</v>
      </c>
      <c r="D37" s="8">
        <v>304.14800000000002</v>
      </c>
      <c r="E37" s="21"/>
      <c r="H37" s="22">
        <v>285.12200000000001</v>
      </c>
      <c r="J37" s="10">
        <v>153.55099999999999</v>
      </c>
      <c r="L37" s="39">
        <v>233.012</v>
      </c>
      <c r="M37" s="21"/>
    </row>
    <row r="38" spans="1:13" x14ac:dyDescent="0.2">
      <c r="A38" s="20" t="s">
        <v>30</v>
      </c>
      <c r="B38" s="10">
        <v>627.59299999999996</v>
      </c>
      <c r="D38" s="8">
        <v>675.15</v>
      </c>
      <c r="E38" s="21"/>
      <c r="H38" s="22">
        <v>627.59299999999996</v>
      </c>
      <c r="J38" s="10">
        <v>879.36199999999997</v>
      </c>
      <c r="L38" s="39">
        <v>778.86199999999997</v>
      </c>
      <c r="M38" s="21"/>
    </row>
    <row r="39" spans="1:13" x14ac:dyDescent="0.2">
      <c r="A39" s="20" t="s">
        <v>31</v>
      </c>
      <c r="B39" s="10">
        <v>438.71899999999999</v>
      </c>
      <c r="D39" s="8">
        <v>469.21899999999999</v>
      </c>
      <c r="E39" s="21"/>
      <c r="H39" s="22">
        <v>438.71899999999999</v>
      </c>
      <c r="J39" s="10">
        <v>550.68200000000002</v>
      </c>
      <c r="L39" s="39">
        <v>511.83199999999999</v>
      </c>
      <c r="M39" s="21"/>
    </row>
    <row r="40" spans="1:13" x14ac:dyDescent="0.2">
      <c r="A40" s="20" t="s">
        <v>32</v>
      </c>
      <c r="B40" s="10">
        <v>139.88200000000001</v>
      </c>
      <c r="D40" s="8">
        <v>147.87200000000001</v>
      </c>
      <c r="E40" s="21"/>
      <c r="H40" s="22">
        <v>139.88200000000001</v>
      </c>
      <c r="J40" s="10">
        <v>247.86500000000001</v>
      </c>
      <c r="L40" s="39">
        <v>176.65600000000001</v>
      </c>
      <c r="M40" s="21"/>
    </row>
    <row r="41" spans="1:13" x14ac:dyDescent="0.2">
      <c r="A41" s="20" t="s">
        <v>33</v>
      </c>
      <c r="B41" s="10">
        <v>98.927000000000007</v>
      </c>
      <c r="D41" s="8">
        <v>104.9</v>
      </c>
      <c r="E41" s="21"/>
      <c r="H41" s="22">
        <v>98.927000000000007</v>
      </c>
      <c r="J41" s="10">
        <v>317.596</v>
      </c>
      <c r="L41" s="39">
        <v>117.35299999999999</v>
      </c>
      <c r="M41" s="21"/>
    </row>
    <row r="42" spans="1:13" x14ac:dyDescent="0.2">
      <c r="A42" s="20" t="s">
        <v>34</v>
      </c>
      <c r="B42" s="10">
        <v>1300.1600000000001</v>
      </c>
      <c r="D42" s="8">
        <v>1433.6079999999999</v>
      </c>
      <c r="E42" s="21"/>
      <c r="H42" s="22">
        <v>1300.1600000000001</v>
      </c>
      <c r="J42" s="10">
        <v>445.90199999999999</v>
      </c>
      <c r="L42" s="39">
        <v>293.596</v>
      </c>
      <c r="M42" s="21"/>
    </row>
    <row r="43" spans="1:13" x14ac:dyDescent="0.2">
      <c r="A43" s="20" t="s">
        <v>35</v>
      </c>
      <c r="B43" s="10">
        <v>744.94</v>
      </c>
      <c r="D43" s="8">
        <v>817.67600000000004</v>
      </c>
      <c r="E43" s="21"/>
      <c r="H43" s="22">
        <v>744.94</v>
      </c>
      <c r="J43" s="10">
        <v>516.40200000000004</v>
      </c>
      <c r="L43" s="39">
        <v>505.37599999999998</v>
      </c>
      <c r="M43" s="21"/>
    </row>
    <row r="44" spans="1:13" x14ac:dyDescent="0.2">
      <c r="A44" s="20" t="s">
        <v>36</v>
      </c>
      <c r="B44" s="10">
        <v>242.32300000000001</v>
      </c>
      <c r="D44" s="8">
        <v>262.89600000000002</v>
      </c>
      <c r="E44" s="21"/>
      <c r="H44" s="22">
        <v>242.32300000000001</v>
      </c>
      <c r="J44" s="10">
        <v>519.71500000000003</v>
      </c>
      <c r="L44" s="39">
        <v>92.406999999999996</v>
      </c>
      <c r="M44" s="21"/>
    </row>
    <row r="45" spans="1:13" x14ac:dyDescent="0.2">
      <c r="A45" s="20" t="s">
        <v>37</v>
      </c>
      <c r="B45" s="10">
        <v>54.622</v>
      </c>
      <c r="D45" s="8">
        <v>57.280999999999999</v>
      </c>
      <c r="E45" s="21"/>
      <c r="H45" s="22">
        <v>54.622</v>
      </c>
      <c r="J45" s="10">
        <v>19.405000000000001</v>
      </c>
      <c r="L45" s="39">
        <v>28.934999999999999</v>
      </c>
      <c r="M45" s="21"/>
    </row>
    <row r="46" spans="1:13" x14ac:dyDescent="0.2">
      <c r="A46" s="20" t="s">
        <v>26</v>
      </c>
      <c r="B46" s="10">
        <v>10.316000000000001</v>
      </c>
      <c r="D46" s="8">
        <v>10.519</v>
      </c>
      <c r="E46" s="21"/>
      <c r="H46" s="22">
        <v>10.316000000000001</v>
      </c>
      <c r="J46" s="10">
        <v>5.9619999999999997</v>
      </c>
      <c r="L46" s="39">
        <v>5.9370000000000003</v>
      </c>
      <c r="M46" s="21"/>
    </row>
    <row r="47" spans="1:13" x14ac:dyDescent="0.2">
      <c r="A47" s="20" t="s">
        <v>27</v>
      </c>
      <c r="B47" s="10">
        <v>13.317</v>
      </c>
      <c r="D47" s="8">
        <v>13.641</v>
      </c>
      <c r="E47" s="21"/>
      <c r="H47" s="22">
        <v>13.317</v>
      </c>
      <c r="J47" s="10">
        <v>6.2130000000000001</v>
      </c>
      <c r="L47" s="39">
        <v>12.037000000000001</v>
      </c>
      <c r="M47" s="21"/>
    </row>
    <row r="48" spans="1:13" x14ac:dyDescent="0.2">
      <c r="A48" s="20" t="s">
        <v>28</v>
      </c>
      <c r="B48" s="10">
        <v>113.58499999999999</v>
      </c>
      <c r="D48" s="8">
        <v>120.224</v>
      </c>
      <c r="E48" s="21"/>
      <c r="H48" s="22">
        <v>113.58499999999999</v>
      </c>
      <c r="J48" s="10">
        <v>14.116</v>
      </c>
      <c r="L48" s="39">
        <v>51.475000000000001</v>
      </c>
      <c r="M48" s="21"/>
    </row>
    <row r="49" spans="1:13" x14ac:dyDescent="0.2">
      <c r="A49" s="20" t="s">
        <v>29</v>
      </c>
      <c r="B49" s="10">
        <v>250.55799999999999</v>
      </c>
      <c r="D49" s="8">
        <v>267.33600000000001</v>
      </c>
      <c r="E49" s="21"/>
      <c r="H49" s="22">
        <v>250.55799999999999</v>
      </c>
      <c r="J49" s="10">
        <v>139.52799999999999</v>
      </c>
      <c r="L49" s="39">
        <v>231.64699999999999</v>
      </c>
      <c r="M49" s="21"/>
    </row>
    <row r="50" spans="1:13" x14ac:dyDescent="0.2">
      <c r="A50" s="20" t="s">
        <v>30</v>
      </c>
      <c r="B50" s="10">
        <v>869.51</v>
      </c>
      <c r="D50" s="8">
        <v>948.36099999999999</v>
      </c>
      <c r="E50" s="21"/>
      <c r="H50" s="22">
        <v>869.51</v>
      </c>
      <c r="J50" s="10">
        <v>891.82299999999998</v>
      </c>
      <c r="L50" s="39">
        <v>560.72299999999996</v>
      </c>
      <c r="M50" s="21"/>
    </row>
    <row r="51" spans="1:13" x14ac:dyDescent="0.2">
      <c r="A51" s="20" t="s">
        <v>31</v>
      </c>
      <c r="B51" s="10">
        <v>670.67200000000003</v>
      </c>
      <c r="D51" s="8">
        <v>719.45799999999997</v>
      </c>
      <c r="E51" s="21"/>
      <c r="H51" s="22">
        <v>670.67200000000003</v>
      </c>
      <c r="J51" s="10">
        <v>775.23299999999995</v>
      </c>
      <c r="L51" s="39">
        <v>1110.963</v>
      </c>
      <c r="M51" s="21"/>
    </row>
    <row r="52" spans="1:13" x14ac:dyDescent="0.2">
      <c r="A52" s="20" t="s">
        <v>32</v>
      </c>
      <c r="B52" s="10">
        <v>289.52999999999997</v>
      </c>
      <c r="D52" s="8">
        <v>310.73</v>
      </c>
      <c r="E52" s="21"/>
      <c r="H52" s="22">
        <v>289.52999999999997</v>
      </c>
      <c r="J52" s="10">
        <v>314.755</v>
      </c>
      <c r="L52" s="39">
        <v>538.80399999999997</v>
      </c>
      <c r="M52" s="21"/>
    </row>
    <row r="53" spans="1:13" x14ac:dyDescent="0.2">
      <c r="A53" s="20" t="s">
        <v>33</v>
      </c>
      <c r="B53" s="10">
        <v>216.63200000000001</v>
      </c>
      <c r="D53" s="8">
        <v>232.46199999999999</v>
      </c>
      <c r="E53" s="21"/>
      <c r="H53" s="22">
        <v>216.63200000000001</v>
      </c>
      <c r="J53" s="10">
        <v>390.721</v>
      </c>
      <c r="L53" s="39">
        <v>202.13399999999999</v>
      </c>
      <c r="M53" s="21"/>
    </row>
    <row r="54" spans="1:13" x14ac:dyDescent="0.2">
      <c r="A54" s="20" t="s">
        <v>34</v>
      </c>
      <c r="B54" s="10">
        <v>1568.13</v>
      </c>
      <c r="D54" s="8">
        <v>1740.056</v>
      </c>
      <c r="E54" s="21"/>
      <c r="H54" s="22">
        <v>1568.13</v>
      </c>
      <c r="J54" s="10">
        <v>1874.0730000000001</v>
      </c>
      <c r="L54" s="39">
        <v>171.94200000000001</v>
      </c>
      <c r="M54" s="21"/>
    </row>
    <row r="55" spans="1:13" x14ac:dyDescent="0.2">
      <c r="A55" s="20" t="s">
        <v>35</v>
      </c>
      <c r="B55" s="10">
        <v>517.54600000000005</v>
      </c>
      <c r="D55" s="8">
        <v>566.98</v>
      </c>
      <c r="E55" s="21"/>
      <c r="H55" s="22">
        <v>517.54600000000005</v>
      </c>
      <c r="J55" s="10">
        <v>552.96699999999998</v>
      </c>
      <c r="L55" s="39">
        <v>443.08</v>
      </c>
      <c r="M55" s="21"/>
    </row>
    <row r="56" spans="1:13" x14ac:dyDescent="0.2">
      <c r="A56" s="20" t="s">
        <v>36</v>
      </c>
      <c r="B56" s="10">
        <v>67.659000000000006</v>
      </c>
      <c r="D56" s="8">
        <v>70.847999999999999</v>
      </c>
      <c r="E56" s="21"/>
      <c r="H56" s="22">
        <v>67.659000000000006</v>
      </c>
      <c r="J56" s="10">
        <v>74.188999999999993</v>
      </c>
      <c r="L56" s="39">
        <v>37.548000000000002</v>
      </c>
      <c r="M56" s="21"/>
    </row>
    <row r="57" spans="1:13" x14ac:dyDescent="0.2">
      <c r="A57" s="20" t="s">
        <v>37</v>
      </c>
      <c r="B57" s="10">
        <v>11.56</v>
      </c>
      <c r="D57" s="8">
        <v>11.798</v>
      </c>
      <c r="E57" s="21"/>
      <c r="H57" s="22">
        <v>11.56</v>
      </c>
      <c r="J57" s="10">
        <v>9.3119999999999994</v>
      </c>
      <c r="L57" s="39">
        <v>7.4130000000000003</v>
      </c>
      <c r="M57" s="21"/>
    </row>
    <row r="58" spans="1:13" x14ac:dyDescent="0.2">
      <c r="A58" s="20" t="s">
        <v>26</v>
      </c>
      <c r="B58" s="10">
        <v>9.5570000000000004</v>
      </c>
      <c r="D58" s="8">
        <v>9.734</v>
      </c>
      <c r="E58" s="21"/>
      <c r="H58" s="22">
        <v>9.5570000000000004</v>
      </c>
      <c r="J58" s="10">
        <v>5.8819999999999997</v>
      </c>
      <c r="L58" s="39">
        <v>5.9790000000000001</v>
      </c>
      <c r="M58" s="21"/>
    </row>
    <row r="59" spans="1:13" x14ac:dyDescent="0.2">
      <c r="A59" s="20" t="s">
        <v>27</v>
      </c>
      <c r="B59" s="10">
        <v>7.883</v>
      </c>
      <c r="D59" s="8">
        <v>8.0229999999999997</v>
      </c>
      <c r="E59" s="21"/>
      <c r="H59" s="22">
        <v>7.883</v>
      </c>
      <c r="J59" s="10">
        <v>5.0999999999999996</v>
      </c>
      <c r="L59" s="39">
        <v>5.4</v>
      </c>
      <c r="M59" s="21"/>
    </row>
    <row r="60" spans="1:13" x14ac:dyDescent="0.2">
      <c r="A60" s="20" t="s">
        <v>28</v>
      </c>
      <c r="B60" s="10">
        <v>24.207999999999998</v>
      </c>
      <c r="D60" s="8">
        <v>25.030999999999999</v>
      </c>
      <c r="E60" s="21"/>
      <c r="H60" s="22">
        <v>24.207999999999998</v>
      </c>
      <c r="J60" s="10">
        <v>5.7039999999999997</v>
      </c>
      <c r="L60" s="39">
        <v>7.7240000000000002</v>
      </c>
      <c r="M60" s="21"/>
    </row>
    <row r="61" spans="1:13" x14ac:dyDescent="0.2">
      <c r="A61" s="20" t="s">
        <v>29</v>
      </c>
      <c r="B61" s="10">
        <v>91.224000000000004</v>
      </c>
      <c r="D61" s="8">
        <v>96.02</v>
      </c>
      <c r="E61" s="21"/>
      <c r="H61" s="22">
        <v>91.224000000000004</v>
      </c>
      <c r="J61" s="10">
        <v>24.655000000000001</v>
      </c>
      <c r="L61" s="39">
        <v>53.012</v>
      </c>
      <c r="M61" s="21"/>
    </row>
    <row r="62" spans="1:13" x14ac:dyDescent="0.2">
      <c r="A62" s="20" t="s">
        <v>30</v>
      </c>
      <c r="B62" s="10">
        <v>413.27100000000002</v>
      </c>
      <c r="D62" s="8">
        <v>440.11200000000002</v>
      </c>
      <c r="E62" s="21"/>
      <c r="H62" s="22">
        <v>413.27100000000002</v>
      </c>
      <c r="J62" s="10">
        <v>518.77</v>
      </c>
      <c r="L62" s="39">
        <v>432.83800000000002</v>
      </c>
      <c r="M62" s="21"/>
    </row>
    <row r="63" spans="1:13" x14ac:dyDescent="0.2">
      <c r="A63" s="20" t="s">
        <v>31</v>
      </c>
      <c r="B63" s="10">
        <v>745.09100000000001</v>
      </c>
      <c r="D63" s="8">
        <v>800.64200000000005</v>
      </c>
      <c r="E63" s="21"/>
      <c r="H63" s="22">
        <v>745.09100000000001</v>
      </c>
      <c r="J63" s="10">
        <v>609.14099999999996</v>
      </c>
      <c r="L63" s="39">
        <v>1047.095</v>
      </c>
      <c r="M63" s="21"/>
    </row>
    <row r="64" spans="1:13" x14ac:dyDescent="0.2">
      <c r="A64" s="20" t="s">
        <v>32</v>
      </c>
      <c r="B64" s="10">
        <v>594.18799999999999</v>
      </c>
      <c r="D64" s="8">
        <v>638.62699999999995</v>
      </c>
      <c r="E64" s="21"/>
      <c r="H64" s="22">
        <v>594.18799999999999</v>
      </c>
      <c r="J64" s="10">
        <v>681.82299999999998</v>
      </c>
      <c r="L64" s="39">
        <v>995.15499999999997</v>
      </c>
      <c r="M64" s="21"/>
    </row>
    <row r="65" spans="1:13" x14ac:dyDescent="0.2">
      <c r="A65" s="20" t="s">
        <v>33</v>
      </c>
      <c r="B65" s="10">
        <v>707.67399999999998</v>
      </c>
      <c r="D65" s="8">
        <v>763.79100000000005</v>
      </c>
      <c r="E65" s="21"/>
      <c r="H65" s="22">
        <v>707.67399999999998</v>
      </c>
      <c r="J65" s="10">
        <v>701.447</v>
      </c>
      <c r="L65" s="39">
        <v>340.81200000000001</v>
      </c>
      <c r="M65" s="21"/>
    </row>
    <row r="66" spans="1:13" x14ac:dyDescent="0.2">
      <c r="A66" s="20" t="s">
        <v>34</v>
      </c>
      <c r="B66" s="10">
        <v>374.90100000000001</v>
      </c>
      <c r="D66" s="8">
        <v>406.05099999999999</v>
      </c>
      <c r="E66" s="21"/>
      <c r="H66" s="22">
        <v>374.90100000000001</v>
      </c>
      <c r="J66" s="10">
        <v>186.572</v>
      </c>
      <c r="L66" s="39">
        <v>303.07400000000001</v>
      </c>
      <c r="M66" s="21"/>
    </row>
    <row r="67" spans="1:13" x14ac:dyDescent="0.2">
      <c r="A67" s="20" t="s">
        <v>35</v>
      </c>
      <c r="B67" s="10">
        <v>501.00299999999999</v>
      </c>
      <c r="D67" s="8">
        <v>544.19799999999998</v>
      </c>
      <c r="E67" s="21"/>
      <c r="H67" s="22">
        <v>501.00299999999999</v>
      </c>
      <c r="J67" s="10">
        <v>137.054</v>
      </c>
      <c r="L67" s="39">
        <v>121.44</v>
      </c>
      <c r="M67" s="21"/>
    </row>
    <row r="68" spans="1:13" x14ac:dyDescent="0.2">
      <c r="A68" s="20" t="s">
        <v>36</v>
      </c>
      <c r="B68" s="10">
        <v>13.449</v>
      </c>
      <c r="D68" s="8">
        <v>13.81</v>
      </c>
      <c r="E68" s="21"/>
      <c r="H68" s="22">
        <v>13.449</v>
      </c>
      <c r="J68" s="10">
        <v>15.465</v>
      </c>
      <c r="L68" s="39">
        <v>7.758</v>
      </c>
      <c r="M68" s="21"/>
    </row>
    <row r="69" spans="1:13" x14ac:dyDescent="0.2">
      <c r="A69" s="20" t="s">
        <v>37</v>
      </c>
      <c r="B69" s="10">
        <v>11.143000000000001</v>
      </c>
      <c r="D69" s="8">
        <v>11.340999999999999</v>
      </c>
      <c r="E69" s="21"/>
      <c r="H69" s="22">
        <v>11.143000000000001</v>
      </c>
      <c r="J69" s="10">
        <v>7.2140000000000004</v>
      </c>
      <c r="L69" s="39">
        <v>7.13</v>
      </c>
      <c r="M69" s="21"/>
    </row>
    <row r="70" spans="1:13" x14ac:dyDescent="0.2">
      <c r="A70" s="20" t="s">
        <v>26</v>
      </c>
      <c r="B70" s="10">
        <v>15.211</v>
      </c>
      <c r="D70" s="8">
        <v>15.484</v>
      </c>
      <c r="E70" s="21"/>
      <c r="H70" s="22">
        <v>15.211</v>
      </c>
      <c r="J70" s="10">
        <v>10.427</v>
      </c>
      <c r="L70" s="39">
        <v>10.624000000000001</v>
      </c>
      <c r="M70" s="21"/>
    </row>
    <row r="71" spans="1:13" x14ac:dyDescent="0.2">
      <c r="A71" s="20" t="s">
        <v>27</v>
      </c>
      <c r="B71" s="10">
        <v>23.036000000000001</v>
      </c>
      <c r="D71" s="8">
        <v>23.606999999999999</v>
      </c>
      <c r="E71" s="21"/>
      <c r="H71" s="22">
        <v>23.036000000000001</v>
      </c>
      <c r="J71" s="10">
        <v>11.73</v>
      </c>
      <c r="L71" s="39">
        <v>18.161999999999999</v>
      </c>
      <c r="M71" s="21"/>
    </row>
    <row r="72" spans="1:13" x14ac:dyDescent="0.2">
      <c r="A72" s="20" t="s">
        <v>28</v>
      </c>
      <c r="B72" s="10">
        <v>59.247999999999998</v>
      </c>
      <c r="D72" s="8">
        <v>61.756999999999998</v>
      </c>
      <c r="E72" s="21"/>
      <c r="H72" s="22">
        <v>59.247999999999998</v>
      </c>
      <c r="J72" s="10">
        <v>16.251000000000001</v>
      </c>
      <c r="L72" s="39">
        <v>32.348999999999997</v>
      </c>
      <c r="M72" s="21"/>
    </row>
    <row r="73" spans="1:13" x14ac:dyDescent="0.2">
      <c r="A73" s="20" t="s">
        <v>29</v>
      </c>
      <c r="B73" s="10">
        <v>252.11600000000001</v>
      </c>
      <c r="D73" s="8">
        <v>268.87400000000002</v>
      </c>
      <c r="E73" s="21"/>
      <c r="H73" s="22">
        <v>252.11600000000001</v>
      </c>
      <c r="J73" s="10">
        <v>106.327</v>
      </c>
      <c r="L73" s="39">
        <v>142.24</v>
      </c>
      <c r="M73" s="21"/>
    </row>
    <row r="74" spans="1:13" x14ac:dyDescent="0.2">
      <c r="A74" s="20" t="s">
        <v>30</v>
      </c>
      <c r="B74" s="10">
        <v>492.70100000000002</v>
      </c>
      <c r="D74" s="8">
        <v>528.58000000000004</v>
      </c>
      <c r="E74" s="21"/>
      <c r="H74" s="22">
        <v>492.70100000000002</v>
      </c>
      <c r="J74" s="10">
        <v>559.84100000000001</v>
      </c>
      <c r="L74" s="39">
        <v>476.56</v>
      </c>
      <c r="M74" s="21"/>
    </row>
    <row r="75" spans="1:13" x14ac:dyDescent="0.2">
      <c r="A75" s="20" t="s">
        <v>31</v>
      </c>
      <c r="B75" s="10">
        <v>538.27300000000002</v>
      </c>
      <c r="D75" s="8">
        <v>577.6</v>
      </c>
      <c r="E75" s="21"/>
      <c r="H75" s="22">
        <v>538.27300000000002</v>
      </c>
      <c r="J75" s="10">
        <v>632.76499999999999</v>
      </c>
      <c r="L75" s="39">
        <v>727.72299999999996</v>
      </c>
      <c r="M75" s="21"/>
    </row>
    <row r="76" spans="1:13" x14ac:dyDescent="0.2">
      <c r="A76" s="20" t="s">
        <v>32</v>
      </c>
      <c r="B76" s="10">
        <v>301.13299999999998</v>
      </c>
      <c r="D76" s="8">
        <v>321.70999999999998</v>
      </c>
      <c r="E76" s="21"/>
      <c r="H76" s="22">
        <v>301.13299999999998</v>
      </c>
      <c r="J76" s="10">
        <v>406.55799999999999</v>
      </c>
      <c r="L76" s="39">
        <v>469.61399999999998</v>
      </c>
      <c r="M76" s="21"/>
    </row>
    <row r="77" spans="1:13" x14ac:dyDescent="0.2">
      <c r="A77" s="20" t="s">
        <v>33</v>
      </c>
      <c r="B77" s="10">
        <v>147.41</v>
      </c>
      <c r="D77" s="8">
        <v>157.49299999999999</v>
      </c>
      <c r="E77" s="21"/>
      <c r="H77" s="22">
        <v>147.41</v>
      </c>
      <c r="J77" s="10">
        <v>505.279</v>
      </c>
      <c r="L77" s="39">
        <v>246.56100000000001</v>
      </c>
      <c r="M77" s="21"/>
    </row>
    <row r="78" spans="1:13" x14ac:dyDescent="0.2">
      <c r="A78" s="20" t="s">
        <v>34</v>
      </c>
      <c r="B78" s="10">
        <v>366.36900000000003</v>
      </c>
      <c r="D78" s="8">
        <v>395.089</v>
      </c>
      <c r="E78" s="21"/>
      <c r="H78" s="22">
        <v>366.36900000000003</v>
      </c>
      <c r="J78" s="10">
        <v>281.28100000000001</v>
      </c>
      <c r="L78" s="39">
        <v>308.98200000000003</v>
      </c>
      <c r="M78" s="21"/>
    </row>
    <row r="79" spans="1:13" x14ac:dyDescent="0.2">
      <c r="A79" s="20" t="s">
        <v>35</v>
      </c>
      <c r="B79" s="10">
        <v>283.96800000000002</v>
      </c>
      <c r="D79" s="8">
        <v>308.71100000000001</v>
      </c>
      <c r="E79" s="21"/>
      <c r="H79" s="22">
        <v>283.96800000000002</v>
      </c>
      <c r="J79" s="10">
        <v>178.18600000000001</v>
      </c>
      <c r="L79" s="39">
        <v>280.78699999999998</v>
      </c>
      <c r="M79" s="21"/>
    </row>
    <row r="80" spans="1:13" x14ac:dyDescent="0.2">
      <c r="A80" s="20" t="s">
        <v>36</v>
      </c>
      <c r="B80" s="10">
        <v>43.603999999999999</v>
      </c>
      <c r="D80" s="8">
        <v>45.508000000000003</v>
      </c>
      <c r="E80" s="21"/>
      <c r="H80" s="22">
        <v>43.603999999999999</v>
      </c>
      <c r="J80" s="10">
        <v>50.356999999999999</v>
      </c>
      <c r="L80" s="39">
        <v>30.405000000000001</v>
      </c>
      <c r="M80" s="21"/>
    </row>
    <row r="81" spans="1:13" x14ac:dyDescent="0.2">
      <c r="A81" s="20" t="s">
        <v>37</v>
      </c>
      <c r="B81" s="10">
        <v>13.616</v>
      </c>
      <c r="D81" s="8">
        <v>13.862</v>
      </c>
      <c r="E81" s="21"/>
      <c r="H81" s="22">
        <v>13.616</v>
      </c>
      <c r="J81" s="10">
        <v>9.3490000000000002</v>
      </c>
      <c r="L81" s="39">
        <v>9.4610000000000003</v>
      </c>
      <c r="M81" s="21"/>
    </row>
    <row r="82" spans="1:13" x14ac:dyDescent="0.2">
      <c r="A82" s="20" t="s">
        <v>26</v>
      </c>
      <c r="B82" s="10">
        <v>11.587999999999999</v>
      </c>
      <c r="D82" s="8">
        <v>11.808</v>
      </c>
      <c r="E82" s="21"/>
      <c r="H82" s="22">
        <v>11.587999999999999</v>
      </c>
      <c r="J82" s="10">
        <v>7.3179999999999996</v>
      </c>
      <c r="L82" s="39">
        <v>7.2329999999999997</v>
      </c>
      <c r="M82" s="21"/>
    </row>
    <row r="83" spans="1:13" x14ac:dyDescent="0.2">
      <c r="A83" s="20" t="s">
        <v>27</v>
      </c>
      <c r="B83" s="10">
        <v>18.774999999999999</v>
      </c>
      <c r="D83" s="8">
        <v>19.274000000000001</v>
      </c>
      <c r="E83" s="21"/>
      <c r="H83" s="22">
        <v>18.774999999999999</v>
      </c>
      <c r="J83" s="10">
        <v>9.0549999999999997</v>
      </c>
      <c r="L83" s="39">
        <v>16.795999999999999</v>
      </c>
      <c r="M83" s="21"/>
    </row>
    <row r="84" spans="1:13" x14ac:dyDescent="0.2">
      <c r="A84" s="20" t="s">
        <v>28</v>
      </c>
      <c r="B84" s="10">
        <v>66.522000000000006</v>
      </c>
      <c r="D84" s="8">
        <v>70.257000000000005</v>
      </c>
      <c r="E84" s="21"/>
      <c r="H84" s="22">
        <v>66.522000000000006</v>
      </c>
      <c r="J84" s="10">
        <v>8.6219999999999999</v>
      </c>
      <c r="L84" s="39">
        <v>52.219000000000001</v>
      </c>
      <c r="M84" s="21"/>
    </row>
    <row r="85" spans="1:13" x14ac:dyDescent="0.2">
      <c r="A85" s="20" t="s">
        <v>29</v>
      </c>
      <c r="B85" s="10">
        <v>284.95699999999999</v>
      </c>
      <c r="D85" s="8">
        <v>306.89600000000002</v>
      </c>
      <c r="E85" s="21"/>
      <c r="H85" s="22">
        <v>284.95699999999999</v>
      </c>
      <c r="J85" s="10">
        <v>69.837999999999994</v>
      </c>
      <c r="L85" s="39">
        <v>135.09399999999999</v>
      </c>
      <c r="M85" s="21"/>
    </row>
    <row r="86" spans="1:13" x14ac:dyDescent="0.2">
      <c r="A86" s="20" t="s">
        <v>30</v>
      </c>
      <c r="B86" s="10">
        <v>541.52700000000004</v>
      </c>
      <c r="D86" s="8">
        <v>580.68299999999999</v>
      </c>
      <c r="E86" s="21"/>
      <c r="H86" s="22">
        <v>541.52700000000004</v>
      </c>
      <c r="J86" s="10">
        <v>789.827</v>
      </c>
      <c r="L86" s="39">
        <v>524.58799999999997</v>
      </c>
      <c r="M86" s="21"/>
    </row>
    <row r="87" spans="1:13" x14ac:dyDescent="0.2">
      <c r="A87" s="20" t="s">
        <v>31</v>
      </c>
      <c r="B87" s="10">
        <v>667.56100000000004</v>
      </c>
      <c r="D87" s="8">
        <v>715.38800000000003</v>
      </c>
      <c r="E87" s="21"/>
      <c r="H87" s="22">
        <v>667.56100000000004</v>
      </c>
      <c r="J87" s="10">
        <v>791.5</v>
      </c>
      <c r="L87" s="39">
        <v>1065.3630000000001</v>
      </c>
      <c r="M87" s="21"/>
    </row>
    <row r="88" spans="1:13" x14ac:dyDescent="0.2">
      <c r="A88" s="20" t="s">
        <v>32</v>
      </c>
      <c r="B88" s="10">
        <v>289.88</v>
      </c>
      <c r="D88" s="8">
        <v>308.56900000000002</v>
      </c>
      <c r="E88" s="21"/>
      <c r="H88" s="22">
        <v>289.88</v>
      </c>
      <c r="J88" s="10">
        <v>449.07400000000001</v>
      </c>
      <c r="L88" s="39">
        <v>444.20299999999997</v>
      </c>
      <c r="M88" s="21"/>
    </row>
    <row r="89" spans="1:13" x14ac:dyDescent="0.2">
      <c r="A89" s="20" t="s">
        <v>33</v>
      </c>
      <c r="B89" s="10">
        <v>186.65100000000001</v>
      </c>
      <c r="D89" s="8">
        <v>198.15600000000001</v>
      </c>
      <c r="E89" s="21"/>
      <c r="H89" s="22">
        <v>186.65100000000001</v>
      </c>
      <c r="J89" s="10">
        <v>318.14499999999998</v>
      </c>
      <c r="L89" s="39">
        <v>179.55199999999999</v>
      </c>
      <c r="M89" s="21"/>
    </row>
    <row r="90" spans="1:13" x14ac:dyDescent="0.2">
      <c r="A90" s="20" t="s">
        <v>34</v>
      </c>
      <c r="B90" s="10">
        <v>496.637</v>
      </c>
      <c r="D90" s="8">
        <v>541.38099999999997</v>
      </c>
      <c r="E90" s="21"/>
      <c r="H90" s="22">
        <v>496.637</v>
      </c>
      <c r="J90" s="10">
        <v>247.55699999999999</v>
      </c>
      <c r="L90" s="39">
        <v>178.51300000000001</v>
      </c>
      <c r="M90" s="21"/>
    </row>
    <row r="91" spans="1:13" x14ac:dyDescent="0.2">
      <c r="A91" s="20" t="s">
        <v>35</v>
      </c>
      <c r="B91" s="10">
        <v>474.86200000000002</v>
      </c>
      <c r="D91" s="8">
        <v>514.553</v>
      </c>
      <c r="E91" s="21"/>
      <c r="H91" s="22">
        <v>474.86200000000002</v>
      </c>
      <c r="J91" s="10">
        <v>362.649</v>
      </c>
      <c r="L91" s="39">
        <v>355.036</v>
      </c>
      <c r="M91" s="21"/>
    </row>
    <row r="92" spans="1:13" x14ac:dyDescent="0.2">
      <c r="A92" s="20" t="s">
        <v>36</v>
      </c>
      <c r="B92" s="10">
        <v>56.960999999999999</v>
      </c>
      <c r="D92" s="8">
        <v>60.225000000000001</v>
      </c>
      <c r="E92" s="21"/>
      <c r="H92" s="22">
        <v>56.960999999999999</v>
      </c>
      <c r="J92" s="10">
        <v>48.396000000000001</v>
      </c>
      <c r="L92" s="39">
        <v>48.411999999999999</v>
      </c>
      <c r="M92" s="21"/>
    </row>
    <row r="93" spans="1:13" x14ac:dyDescent="0.2">
      <c r="A93" s="20" t="s">
        <v>37</v>
      </c>
      <c r="B93" s="10">
        <v>25.524999999999999</v>
      </c>
      <c r="D93" s="8">
        <v>26.43</v>
      </c>
      <c r="E93" s="21"/>
      <c r="H93" s="22">
        <v>25.524999999999999</v>
      </c>
      <c r="J93" s="10">
        <v>30.838999999999999</v>
      </c>
      <c r="L93" s="39">
        <v>14.233000000000001</v>
      </c>
      <c r="M93" s="21"/>
    </row>
    <row r="94" spans="1:13" x14ac:dyDescent="0.2">
      <c r="A94" s="20" t="s">
        <v>26</v>
      </c>
      <c r="B94" s="10">
        <v>11.584</v>
      </c>
      <c r="D94" s="8">
        <v>11.866</v>
      </c>
      <c r="E94" s="21"/>
      <c r="H94" s="22">
        <v>11.584</v>
      </c>
      <c r="J94" s="10">
        <v>5.1790000000000003</v>
      </c>
      <c r="L94" s="39">
        <v>4.6820000000000004</v>
      </c>
      <c r="M94" s="21"/>
    </row>
    <row r="95" spans="1:13" x14ac:dyDescent="0.2">
      <c r="A95" s="20" t="s">
        <v>27</v>
      </c>
      <c r="B95" s="10">
        <v>10.749000000000001</v>
      </c>
      <c r="D95" s="8">
        <v>10.965999999999999</v>
      </c>
      <c r="E95" s="21"/>
      <c r="H95" s="22">
        <v>10.749000000000001</v>
      </c>
      <c r="J95" s="10">
        <v>6.4969999999999999</v>
      </c>
      <c r="L95" s="39">
        <v>22.934999999999999</v>
      </c>
      <c r="M95" s="21"/>
    </row>
    <row r="96" spans="1:13" x14ac:dyDescent="0.2">
      <c r="A96" s="20" t="s">
        <v>28</v>
      </c>
      <c r="B96" s="10">
        <v>41.902000000000001</v>
      </c>
      <c r="D96" s="8">
        <v>43.664000000000001</v>
      </c>
      <c r="E96" s="21"/>
      <c r="H96" s="22">
        <v>41.902000000000001</v>
      </c>
      <c r="J96" s="10">
        <v>6.3890000000000002</v>
      </c>
      <c r="L96" s="39">
        <v>18.475000000000001</v>
      </c>
      <c r="M96" s="21"/>
    </row>
    <row r="97" spans="1:13" x14ac:dyDescent="0.2">
      <c r="A97" s="20" t="s">
        <v>29</v>
      </c>
      <c r="B97" s="10">
        <v>178.92400000000001</v>
      </c>
      <c r="D97" s="8">
        <v>190.208</v>
      </c>
      <c r="E97" s="21"/>
      <c r="H97" s="22">
        <v>178.92400000000001</v>
      </c>
      <c r="J97" s="10">
        <v>54.173999999999999</v>
      </c>
      <c r="L97" s="39">
        <v>115.76300000000001</v>
      </c>
      <c r="M97" s="21"/>
    </row>
    <row r="98" spans="1:13" x14ac:dyDescent="0.2">
      <c r="A98" s="20" t="s">
        <v>30</v>
      </c>
      <c r="B98" s="10">
        <v>360.005</v>
      </c>
      <c r="D98" s="8">
        <v>384.49799999999999</v>
      </c>
      <c r="E98" s="21"/>
      <c r="H98" s="22">
        <v>360.005</v>
      </c>
      <c r="J98" s="10">
        <v>430.55599999999998</v>
      </c>
      <c r="L98" s="39">
        <v>358.41800000000001</v>
      </c>
      <c r="M98" s="21"/>
    </row>
    <row r="99" spans="1:13" x14ac:dyDescent="0.2">
      <c r="A99" s="20" t="s">
        <v>31</v>
      </c>
      <c r="B99" s="10">
        <v>519.22900000000004</v>
      </c>
      <c r="D99" s="8">
        <v>555.99599999999998</v>
      </c>
      <c r="E99" s="21"/>
      <c r="H99" s="22">
        <v>519.22900000000004</v>
      </c>
      <c r="J99" s="10">
        <v>527.45899999999995</v>
      </c>
      <c r="L99" s="39">
        <v>833.24800000000005</v>
      </c>
      <c r="M99" s="21"/>
    </row>
    <row r="100" spans="1:13" x14ac:dyDescent="0.2">
      <c r="A100" s="20" t="s">
        <v>32</v>
      </c>
      <c r="B100" s="10">
        <v>391.041</v>
      </c>
      <c r="D100" s="8">
        <v>419.20600000000002</v>
      </c>
      <c r="E100" s="21"/>
      <c r="H100" s="22">
        <v>391.041</v>
      </c>
      <c r="J100" s="10">
        <v>380.98</v>
      </c>
      <c r="L100" s="39">
        <v>406.30799999999999</v>
      </c>
      <c r="M100" s="21"/>
    </row>
    <row r="101" spans="1:13" x14ac:dyDescent="0.2">
      <c r="A101" s="20" t="s">
        <v>33</v>
      </c>
      <c r="B101" s="10">
        <v>333.59199999999998</v>
      </c>
      <c r="D101" s="8">
        <v>360.17399999999998</v>
      </c>
      <c r="E101" s="21"/>
      <c r="H101" s="22">
        <v>333.59199999999998</v>
      </c>
      <c r="J101" s="10">
        <v>451.00700000000001</v>
      </c>
      <c r="L101" s="39">
        <v>372.48700000000002</v>
      </c>
      <c r="M101" s="21"/>
    </row>
    <row r="102" spans="1:13" x14ac:dyDescent="0.2">
      <c r="A102" s="20" t="s">
        <v>34</v>
      </c>
      <c r="B102" s="10">
        <v>246.81800000000001</v>
      </c>
      <c r="D102" s="8">
        <v>265.54399999999998</v>
      </c>
      <c r="E102" s="21"/>
      <c r="H102" s="22">
        <v>246.81800000000001</v>
      </c>
      <c r="J102" s="10">
        <v>151.553</v>
      </c>
      <c r="L102" s="39">
        <v>138.56200000000001</v>
      </c>
      <c r="M102" s="21"/>
    </row>
    <row r="103" spans="1:13" x14ac:dyDescent="0.2">
      <c r="A103" s="20" t="s">
        <v>35</v>
      </c>
      <c r="B103" s="10">
        <v>246.624</v>
      </c>
      <c r="D103" s="8">
        <v>264.52199999999999</v>
      </c>
      <c r="E103" s="21"/>
      <c r="H103" s="22">
        <v>246.624</v>
      </c>
      <c r="J103" s="10">
        <v>1183.376</v>
      </c>
      <c r="L103" s="39">
        <v>388.37099999999998</v>
      </c>
      <c r="M103" s="21"/>
    </row>
    <row r="104" spans="1:13" x14ac:dyDescent="0.2">
      <c r="A104" s="20" t="s">
        <v>36</v>
      </c>
      <c r="B104" s="10">
        <v>164.49700000000001</v>
      </c>
      <c r="D104" s="8">
        <v>176.71199999999999</v>
      </c>
      <c r="E104" s="21"/>
      <c r="H104" s="22">
        <v>164.49700000000001</v>
      </c>
      <c r="J104" s="10">
        <v>88.376000000000005</v>
      </c>
      <c r="L104" s="39">
        <v>33.909999999999997</v>
      </c>
      <c r="M104" s="21"/>
    </row>
    <row r="105" spans="1:13" x14ac:dyDescent="0.2">
      <c r="A105" s="20" t="s">
        <v>37</v>
      </c>
      <c r="B105" s="10">
        <v>79.879000000000005</v>
      </c>
      <c r="D105" s="8">
        <v>84.522000000000006</v>
      </c>
      <c r="E105" s="21"/>
      <c r="H105" s="22">
        <v>79.879000000000005</v>
      </c>
      <c r="J105" s="10">
        <v>56.984999999999999</v>
      </c>
      <c r="L105" s="39">
        <v>13.228999999999999</v>
      </c>
      <c r="M105" s="21"/>
    </row>
    <row r="106" spans="1:13" x14ac:dyDescent="0.2">
      <c r="A106" s="20" t="s">
        <v>26</v>
      </c>
      <c r="B106" s="10">
        <v>23.021999999999998</v>
      </c>
      <c r="D106" s="8">
        <v>23.696000000000002</v>
      </c>
      <c r="E106" s="21"/>
      <c r="H106" s="22">
        <v>23.021999999999998</v>
      </c>
      <c r="J106" s="10">
        <v>11.715999999999999</v>
      </c>
      <c r="L106" s="39">
        <v>17.446999999999999</v>
      </c>
      <c r="M106" s="21"/>
    </row>
    <row r="107" spans="1:13" x14ac:dyDescent="0.2">
      <c r="A107" s="20" t="s">
        <v>27</v>
      </c>
      <c r="B107" s="10">
        <v>59.186</v>
      </c>
      <c r="D107" s="8">
        <v>62.018000000000001</v>
      </c>
      <c r="E107" s="21"/>
      <c r="H107" s="22">
        <v>59.186</v>
      </c>
      <c r="J107" s="10">
        <v>24.210999999999999</v>
      </c>
      <c r="L107" s="39">
        <v>44.292000000000002</v>
      </c>
      <c r="M107" s="21"/>
    </row>
    <row r="108" spans="1:13" x14ac:dyDescent="0.2">
      <c r="A108" s="20" t="s">
        <v>28</v>
      </c>
      <c r="B108" s="10">
        <v>94.546000000000006</v>
      </c>
      <c r="D108" s="8">
        <v>99.942999999999998</v>
      </c>
      <c r="E108" s="21"/>
      <c r="H108" s="22">
        <v>94.546000000000006</v>
      </c>
      <c r="J108" s="10">
        <v>31.407</v>
      </c>
      <c r="L108" s="39">
        <v>85.53</v>
      </c>
      <c r="M108" s="21"/>
    </row>
    <row r="109" spans="1:13" x14ac:dyDescent="0.2">
      <c r="A109" s="20" t="s">
        <v>29</v>
      </c>
      <c r="B109" s="10">
        <v>311.32100000000003</v>
      </c>
      <c r="D109" s="8">
        <v>333.44200000000001</v>
      </c>
      <c r="E109" s="21"/>
      <c r="H109" s="22">
        <v>311.32100000000003</v>
      </c>
      <c r="J109" s="10">
        <v>164.45699999999999</v>
      </c>
      <c r="L109" s="39">
        <v>287.94799999999998</v>
      </c>
      <c r="M109" s="21"/>
    </row>
    <row r="110" spans="1:13" x14ac:dyDescent="0.2">
      <c r="A110" s="20" t="s">
        <v>30</v>
      </c>
      <c r="B110" s="10">
        <v>493.46499999999997</v>
      </c>
      <c r="D110" s="8">
        <v>532.29999999999995</v>
      </c>
      <c r="E110" s="21"/>
      <c r="H110" s="22">
        <v>493.46499999999997</v>
      </c>
      <c r="J110" s="10">
        <v>506.13099999999997</v>
      </c>
      <c r="L110" s="39">
        <v>550.18600000000004</v>
      </c>
      <c r="M110" s="21"/>
    </row>
    <row r="111" spans="1:13" x14ac:dyDescent="0.2">
      <c r="A111" s="20" t="s">
        <v>31</v>
      </c>
      <c r="B111" s="10">
        <v>246.624</v>
      </c>
      <c r="D111" s="8">
        <v>262.50599999999997</v>
      </c>
      <c r="E111" s="21"/>
      <c r="H111" s="22">
        <v>246.624</v>
      </c>
      <c r="J111" s="10">
        <v>363.35899999999998</v>
      </c>
      <c r="L111" s="39">
        <v>387.53899999999999</v>
      </c>
      <c r="M111" s="21"/>
    </row>
    <row r="112" spans="1:13" x14ac:dyDescent="0.2">
      <c r="A112" s="20" t="s">
        <v>32</v>
      </c>
      <c r="B112" s="10">
        <v>137.517</v>
      </c>
      <c r="D112" s="8">
        <v>145.667</v>
      </c>
      <c r="E112" s="21"/>
      <c r="H112" s="22">
        <v>137.517</v>
      </c>
      <c r="J112" s="10">
        <v>138.09299999999999</v>
      </c>
      <c r="L112" s="39">
        <v>172.62200000000001</v>
      </c>
      <c r="M112" s="21"/>
    </row>
    <row r="113" spans="1:13" x14ac:dyDescent="0.2">
      <c r="A113" s="20" t="s">
        <v>33</v>
      </c>
      <c r="B113" s="10">
        <v>301.33499999999998</v>
      </c>
      <c r="D113" s="8">
        <v>326.709</v>
      </c>
      <c r="E113" s="21"/>
      <c r="H113" s="22">
        <v>301.33499999999998</v>
      </c>
      <c r="J113" s="10">
        <v>202.46600000000001</v>
      </c>
      <c r="L113" s="39">
        <v>127.89</v>
      </c>
      <c r="M113" s="21"/>
    </row>
    <row r="114" spans="1:13" x14ac:dyDescent="0.2">
      <c r="A114" s="20" t="s">
        <v>34</v>
      </c>
      <c r="B114" s="10">
        <v>546.82299999999998</v>
      </c>
      <c r="D114" s="8">
        <v>601.25400000000002</v>
      </c>
      <c r="E114" s="21"/>
      <c r="H114" s="22">
        <v>546.82299999999998</v>
      </c>
      <c r="J114" s="10">
        <v>128.96799999999999</v>
      </c>
      <c r="L114" s="39">
        <v>214.09899999999999</v>
      </c>
      <c r="M114" s="21"/>
    </row>
    <row r="115" spans="1:13" x14ac:dyDescent="0.2">
      <c r="A115" s="20" t="s">
        <v>35</v>
      </c>
      <c r="B115" s="10">
        <v>1229.5550000000001</v>
      </c>
      <c r="D115" s="8">
        <v>1367.402</v>
      </c>
      <c r="E115" s="21"/>
      <c r="H115" s="22">
        <v>1229.5550000000001</v>
      </c>
      <c r="J115" s="10">
        <v>853.56500000000005</v>
      </c>
      <c r="L115" s="39">
        <v>423.49400000000003</v>
      </c>
      <c r="M115" s="21"/>
    </row>
    <row r="116" spans="1:13" x14ac:dyDescent="0.2">
      <c r="A116" s="20" t="s">
        <v>36</v>
      </c>
      <c r="B116" s="10">
        <v>423.84899999999999</v>
      </c>
      <c r="D116" s="8">
        <v>460.608</v>
      </c>
      <c r="E116" s="21"/>
      <c r="H116" s="22">
        <v>423.84899999999999</v>
      </c>
      <c r="J116" s="10">
        <v>117.926</v>
      </c>
      <c r="L116" s="39">
        <v>544.16</v>
      </c>
      <c r="M116" s="21"/>
    </row>
    <row r="117" spans="1:13" x14ac:dyDescent="0.2">
      <c r="A117" s="20" t="s">
        <v>37</v>
      </c>
      <c r="B117" s="10">
        <v>12.488</v>
      </c>
      <c r="D117" s="8">
        <v>12.709</v>
      </c>
      <c r="E117" s="21"/>
      <c r="H117" s="22">
        <v>12.488</v>
      </c>
      <c r="J117" s="10">
        <v>13.144</v>
      </c>
      <c r="L117" s="39">
        <v>8.6430000000000007</v>
      </c>
      <c r="M117" s="21"/>
    </row>
    <row r="118" spans="1:13" x14ac:dyDescent="0.2">
      <c r="A118" s="20" t="s">
        <v>26</v>
      </c>
      <c r="B118" s="10">
        <v>25.986999999999998</v>
      </c>
      <c r="D118" s="8">
        <v>26.693000000000001</v>
      </c>
      <c r="E118" s="21"/>
      <c r="H118" s="22">
        <v>25.986999999999998</v>
      </c>
      <c r="J118" s="10">
        <v>12.773</v>
      </c>
      <c r="L118" s="39">
        <v>13.195</v>
      </c>
      <c r="M118" s="21"/>
    </row>
    <row r="119" spans="1:13" x14ac:dyDescent="0.2">
      <c r="A119" s="20" t="s">
        <v>27</v>
      </c>
      <c r="B119" s="10">
        <v>40.073999999999998</v>
      </c>
      <c r="D119" s="8">
        <v>41.228000000000002</v>
      </c>
      <c r="E119" s="21"/>
      <c r="H119" s="22">
        <v>40.073999999999998</v>
      </c>
      <c r="J119" s="10">
        <v>21.416</v>
      </c>
      <c r="L119" s="39">
        <v>30.699000000000002</v>
      </c>
      <c r="M119" s="21"/>
    </row>
    <row r="120" spans="1:13" x14ac:dyDescent="0.2">
      <c r="A120" s="20" t="s">
        <v>28</v>
      </c>
      <c r="B120" s="10">
        <v>58.091999999999999</v>
      </c>
      <c r="D120" s="8">
        <v>60.481999999999999</v>
      </c>
      <c r="E120" s="21"/>
      <c r="H120" s="22">
        <v>58.091999999999999</v>
      </c>
      <c r="J120" s="10">
        <v>27.946999999999999</v>
      </c>
      <c r="L120" s="39">
        <v>65.911000000000001</v>
      </c>
      <c r="M120" s="21"/>
    </row>
    <row r="121" spans="1:13" x14ac:dyDescent="0.2">
      <c r="A121" s="20" t="s">
        <v>29</v>
      </c>
      <c r="B121" s="10">
        <v>243.31100000000001</v>
      </c>
      <c r="D121" s="8">
        <v>258.85599999999999</v>
      </c>
      <c r="E121" s="21"/>
      <c r="H121" s="22">
        <v>243.31100000000001</v>
      </c>
      <c r="J121" s="10">
        <v>160.25</v>
      </c>
      <c r="L121" s="39">
        <v>244.16499999999999</v>
      </c>
      <c r="M121" s="21"/>
    </row>
    <row r="122" spans="1:13" x14ac:dyDescent="0.2">
      <c r="A122" s="20" t="s">
        <v>30</v>
      </c>
      <c r="B122" s="10">
        <v>405.68099999999998</v>
      </c>
      <c r="D122" s="8">
        <v>433.25200000000001</v>
      </c>
      <c r="E122" s="21"/>
      <c r="H122" s="22">
        <v>405.68099999999998</v>
      </c>
      <c r="J122" s="10">
        <v>508.31200000000001</v>
      </c>
      <c r="L122" s="39">
        <v>396.58</v>
      </c>
      <c r="M122" s="21"/>
    </row>
    <row r="123" spans="1:13" x14ac:dyDescent="0.2">
      <c r="A123" s="20" t="s">
        <v>31</v>
      </c>
      <c r="B123" s="10">
        <v>299.077</v>
      </c>
      <c r="D123" s="8">
        <v>319.26299999999998</v>
      </c>
      <c r="E123" s="21"/>
      <c r="H123" s="22">
        <v>299.077</v>
      </c>
      <c r="J123" s="10">
        <v>344.06799999999998</v>
      </c>
      <c r="L123" s="39">
        <v>373.50900000000001</v>
      </c>
      <c r="M123" s="21"/>
    </row>
    <row r="124" spans="1:13" x14ac:dyDescent="0.2">
      <c r="A124" s="20" t="s">
        <v>32</v>
      </c>
      <c r="B124" s="10">
        <v>137.886</v>
      </c>
      <c r="D124" s="8">
        <v>146.25700000000001</v>
      </c>
      <c r="E124" s="21"/>
      <c r="H124" s="22">
        <v>137.886</v>
      </c>
      <c r="J124" s="10">
        <v>175.30500000000001</v>
      </c>
      <c r="L124" s="39">
        <v>134.81899999999999</v>
      </c>
      <c r="M124" s="21"/>
    </row>
    <row r="125" spans="1:13" x14ac:dyDescent="0.2">
      <c r="A125" s="20" t="s">
        <v>33</v>
      </c>
      <c r="B125" s="10">
        <v>126.81699999999999</v>
      </c>
      <c r="D125" s="8">
        <v>136.18899999999999</v>
      </c>
      <c r="E125" s="21"/>
      <c r="H125" s="22">
        <v>126.81699999999999</v>
      </c>
      <c r="J125" s="10">
        <v>146.709</v>
      </c>
      <c r="L125" s="39">
        <v>171.976</v>
      </c>
      <c r="M125" s="21"/>
    </row>
    <row r="126" spans="1:13" x14ac:dyDescent="0.2">
      <c r="A126" s="20" t="s">
        <v>34</v>
      </c>
      <c r="B126" s="10">
        <v>442.113</v>
      </c>
      <c r="D126" s="8">
        <v>475.65699999999998</v>
      </c>
      <c r="E126" s="21"/>
      <c r="H126" s="22">
        <v>442.113</v>
      </c>
      <c r="J126" s="10">
        <v>400.33100000000002</v>
      </c>
      <c r="L126" s="39">
        <v>352.596</v>
      </c>
      <c r="M126" s="21"/>
    </row>
    <row r="127" spans="1:13" x14ac:dyDescent="0.2">
      <c r="A127" s="20" t="s">
        <v>35</v>
      </c>
      <c r="B127" s="10">
        <v>348.43700000000001</v>
      </c>
      <c r="D127" s="8">
        <v>374.98399999999998</v>
      </c>
      <c r="E127" s="21"/>
      <c r="H127" s="22">
        <v>348.43700000000001</v>
      </c>
      <c r="J127" s="10">
        <v>452.33300000000003</v>
      </c>
      <c r="L127" s="39">
        <v>955.37800000000004</v>
      </c>
      <c r="M127" s="21"/>
    </row>
    <row r="128" spans="1:13" x14ac:dyDescent="0.2">
      <c r="A128" s="20" t="s">
        <v>36</v>
      </c>
      <c r="B128" s="10">
        <v>129.626</v>
      </c>
      <c r="D128" s="8">
        <v>139.22200000000001</v>
      </c>
      <c r="E128" s="21"/>
      <c r="H128" s="22">
        <v>129.626</v>
      </c>
      <c r="J128" s="10">
        <v>61.061999999999998</v>
      </c>
      <c r="L128" s="39">
        <v>39.918999999999997</v>
      </c>
      <c r="M128" s="21"/>
    </row>
    <row r="129" spans="1:13" x14ac:dyDescent="0.2">
      <c r="A129" s="20" t="s">
        <v>37</v>
      </c>
      <c r="B129" s="10">
        <v>28.47</v>
      </c>
      <c r="D129" s="8">
        <v>29.366</v>
      </c>
      <c r="E129" s="21"/>
      <c r="H129" s="22">
        <v>28.47</v>
      </c>
      <c r="J129" s="10">
        <v>28.896999999999998</v>
      </c>
      <c r="L129" s="39">
        <v>20.742999999999999</v>
      </c>
      <c r="M129" s="21"/>
    </row>
    <row r="130" spans="1:13" x14ac:dyDescent="0.2">
      <c r="A130" s="20" t="s">
        <v>26</v>
      </c>
      <c r="B130" s="10">
        <v>9.3369999999999997</v>
      </c>
      <c r="D130" s="8">
        <v>9.5030000000000001</v>
      </c>
      <c r="E130" s="21"/>
      <c r="H130" s="22">
        <v>9.3369999999999997</v>
      </c>
      <c r="J130" s="10">
        <v>6.36</v>
      </c>
      <c r="L130" s="39">
        <v>6.41</v>
      </c>
      <c r="M130" s="21"/>
    </row>
    <row r="131" spans="1:13" x14ac:dyDescent="0.2">
      <c r="A131" s="20" t="s">
        <v>27</v>
      </c>
      <c r="B131" s="10">
        <v>11.82</v>
      </c>
      <c r="D131" s="8">
        <v>12.03</v>
      </c>
      <c r="E131" s="21"/>
      <c r="H131" s="22">
        <v>11.82</v>
      </c>
      <c r="J131" s="10">
        <v>8.0239999999999991</v>
      </c>
      <c r="L131" s="39">
        <v>8.1</v>
      </c>
      <c r="M131" s="21"/>
    </row>
    <row r="132" spans="1:13" x14ac:dyDescent="0.2">
      <c r="A132" s="20" t="s">
        <v>28</v>
      </c>
      <c r="B132" s="10">
        <v>26.587</v>
      </c>
      <c r="D132" s="8">
        <v>27.58</v>
      </c>
      <c r="E132" s="21"/>
      <c r="H132" s="22">
        <v>26.587</v>
      </c>
      <c r="J132" s="10">
        <v>8.1189999999999998</v>
      </c>
      <c r="L132" s="39">
        <v>8.5890000000000004</v>
      </c>
      <c r="M132" s="21"/>
    </row>
    <row r="133" spans="1:13" x14ac:dyDescent="0.2">
      <c r="A133" s="20" t="s">
        <v>29</v>
      </c>
      <c r="B133" s="10">
        <v>148.21600000000001</v>
      </c>
      <c r="D133" s="8">
        <v>157.23599999999999</v>
      </c>
      <c r="E133" s="21"/>
      <c r="H133" s="22">
        <v>148.21600000000001</v>
      </c>
      <c r="J133" s="10">
        <v>44.612000000000002</v>
      </c>
      <c r="L133" s="39">
        <v>67.980999999999995</v>
      </c>
      <c r="M133" s="21"/>
    </row>
    <row r="134" spans="1:13" x14ac:dyDescent="0.2">
      <c r="A134" s="20" t="s">
        <v>30</v>
      </c>
      <c r="B134" s="10">
        <v>252.893</v>
      </c>
      <c r="D134" s="8">
        <v>270.04300000000001</v>
      </c>
      <c r="E134" s="21"/>
      <c r="H134" s="22">
        <v>252.893</v>
      </c>
      <c r="J134" s="10">
        <v>227.67099999999999</v>
      </c>
      <c r="L134" s="39">
        <v>207.464</v>
      </c>
      <c r="M134" s="21"/>
    </row>
    <row r="135" spans="1:13" x14ac:dyDescent="0.2">
      <c r="A135" s="20" t="s">
        <v>31</v>
      </c>
      <c r="B135" s="10">
        <v>388.47800000000001</v>
      </c>
      <c r="D135" s="8">
        <v>416.56700000000001</v>
      </c>
      <c r="E135" s="21"/>
      <c r="H135" s="22">
        <v>388.47800000000001</v>
      </c>
      <c r="J135" s="10">
        <v>354.04300000000001</v>
      </c>
      <c r="L135" s="39">
        <v>631.63300000000004</v>
      </c>
      <c r="M135" s="21"/>
    </row>
    <row r="136" spans="1:13" x14ac:dyDescent="0.2">
      <c r="A136" s="20" t="s">
        <v>32</v>
      </c>
      <c r="B136" s="10">
        <v>320.57100000000003</v>
      </c>
      <c r="D136" s="8">
        <v>341.45600000000002</v>
      </c>
      <c r="E136" s="21"/>
      <c r="H136" s="22">
        <v>320.57100000000003</v>
      </c>
      <c r="J136" s="10">
        <v>482.041</v>
      </c>
      <c r="L136" s="39">
        <v>497.85300000000001</v>
      </c>
      <c r="M136" s="21"/>
    </row>
    <row r="137" spans="1:13" x14ac:dyDescent="0.2">
      <c r="A137" s="20" t="s">
        <v>33</v>
      </c>
      <c r="B137" s="10">
        <v>262.69</v>
      </c>
      <c r="D137" s="8">
        <v>280.798</v>
      </c>
      <c r="E137" s="21"/>
      <c r="H137" s="22">
        <v>262.69</v>
      </c>
      <c r="J137" s="10">
        <v>291.85700000000003</v>
      </c>
      <c r="L137" s="39">
        <v>355.69</v>
      </c>
      <c r="M137" s="21"/>
    </row>
    <row r="138" spans="1:13" x14ac:dyDescent="0.2">
      <c r="A138" s="20" t="s">
        <v>34</v>
      </c>
      <c r="B138" s="10">
        <v>203.23599999999999</v>
      </c>
      <c r="D138" s="8">
        <v>218.804</v>
      </c>
      <c r="E138" s="21"/>
      <c r="H138" s="22">
        <v>203.23599999999999</v>
      </c>
      <c r="J138" s="10">
        <v>137.73699999999999</v>
      </c>
      <c r="L138" s="39">
        <v>105.26600000000001</v>
      </c>
      <c r="M138" s="21"/>
    </row>
    <row r="139" spans="1:13" x14ac:dyDescent="0.2">
      <c r="A139" s="20" t="s">
        <v>35</v>
      </c>
      <c r="B139" s="10">
        <v>300.43</v>
      </c>
      <c r="D139" s="8">
        <v>320.70800000000003</v>
      </c>
      <c r="E139" s="21"/>
      <c r="H139" s="22">
        <v>300.43</v>
      </c>
      <c r="J139" s="10">
        <v>205.66300000000001</v>
      </c>
      <c r="L139" s="39">
        <v>141.52799999999999</v>
      </c>
      <c r="M139" s="21"/>
    </row>
    <row r="140" spans="1:13" x14ac:dyDescent="0.2">
      <c r="A140" s="20" t="s">
        <v>36</v>
      </c>
      <c r="B140" s="10">
        <v>37.472000000000001</v>
      </c>
      <c r="D140" s="8">
        <v>39.201000000000001</v>
      </c>
      <c r="E140" s="21"/>
      <c r="H140" s="22">
        <v>37.472000000000001</v>
      </c>
      <c r="J140" s="10">
        <v>22.841000000000001</v>
      </c>
      <c r="L140" s="39">
        <v>8.4079999999999995</v>
      </c>
      <c r="M140" s="21"/>
    </row>
    <row r="141" spans="1:13" x14ac:dyDescent="0.2">
      <c r="A141" s="20" t="s">
        <v>37</v>
      </c>
      <c r="B141" s="10">
        <v>12.468</v>
      </c>
      <c r="D141" s="8">
        <v>12.69</v>
      </c>
      <c r="E141" s="21"/>
      <c r="H141" s="22">
        <v>12.468</v>
      </c>
      <c r="J141" s="10">
        <v>8.4939999999999998</v>
      </c>
      <c r="L141" s="39">
        <v>8.5090000000000003</v>
      </c>
      <c r="M141" s="21"/>
    </row>
    <row r="142" spans="1:13" x14ac:dyDescent="0.2">
      <c r="A142" s="20" t="s">
        <v>26</v>
      </c>
      <c r="B142" s="10">
        <v>7.5739999999999998</v>
      </c>
      <c r="D142" s="8">
        <v>7.7169999999999996</v>
      </c>
      <c r="E142" s="21"/>
      <c r="H142" s="22">
        <v>7.5739999999999998</v>
      </c>
      <c r="J142" s="10">
        <v>6.3360000000000003</v>
      </c>
      <c r="L142" s="39">
        <v>4.9320000000000004</v>
      </c>
      <c r="M142" s="21"/>
    </row>
    <row r="143" spans="1:13" x14ac:dyDescent="0.2">
      <c r="A143" s="20" t="s">
        <v>27</v>
      </c>
      <c r="B143" s="10">
        <v>15.179</v>
      </c>
      <c r="D143" s="8">
        <v>15.595000000000001</v>
      </c>
      <c r="E143" s="21"/>
      <c r="H143" s="22">
        <v>15.179</v>
      </c>
      <c r="J143" s="10">
        <v>6.2640000000000002</v>
      </c>
      <c r="L143" s="39">
        <v>11.291</v>
      </c>
      <c r="M143" s="21"/>
    </row>
    <row r="144" spans="1:13" x14ac:dyDescent="0.2">
      <c r="A144" s="20" t="s">
        <v>28</v>
      </c>
      <c r="B144" s="10">
        <v>66.596999999999994</v>
      </c>
      <c r="D144" s="8">
        <v>69.972999999999999</v>
      </c>
      <c r="E144" s="21"/>
      <c r="H144" s="22">
        <v>66.596999999999994</v>
      </c>
      <c r="J144" s="10">
        <v>10.134</v>
      </c>
      <c r="L144" s="39">
        <v>38.948</v>
      </c>
      <c r="M144" s="21"/>
    </row>
    <row r="145" spans="1:13" x14ac:dyDescent="0.2">
      <c r="A145" s="20" t="s">
        <v>29</v>
      </c>
      <c r="B145" s="10">
        <v>280.92599999999999</v>
      </c>
      <c r="D145" s="8">
        <v>299.08800000000002</v>
      </c>
      <c r="E145" s="21"/>
      <c r="H145" s="22">
        <v>280.92599999999999</v>
      </c>
      <c r="J145" s="10">
        <v>166.65700000000001</v>
      </c>
      <c r="L145" s="39">
        <v>207.72200000000001</v>
      </c>
      <c r="M145" s="21"/>
    </row>
    <row r="146" spans="1:13" x14ac:dyDescent="0.2">
      <c r="A146" s="20" t="s">
        <v>30</v>
      </c>
      <c r="B146" s="10">
        <v>796.99900000000002</v>
      </c>
      <c r="D146" s="8">
        <v>858.82600000000002</v>
      </c>
      <c r="E146" s="21"/>
      <c r="H146" s="22">
        <v>796.99900000000002</v>
      </c>
      <c r="J146" s="10">
        <v>1223.6579999999999</v>
      </c>
      <c r="L146" s="39">
        <v>526.36099999999999</v>
      </c>
      <c r="M146" s="21"/>
    </row>
    <row r="147" spans="1:13" x14ac:dyDescent="0.2">
      <c r="A147" s="20" t="s">
        <v>31</v>
      </c>
      <c r="B147" s="10">
        <v>716.78899999999999</v>
      </c>
      <c r="D147" s="8">
        <v>769.98099999999999</v>
      </c>
      <c r="E147" s="21"/>
      <c r="H147" s="22">
        <v>716.78899999999999</v>
      </c>
      <c r="J147" s="10">
        <v>737.65800000000002</v>
      </c>
      <c r="L147" s="39">
        <v>1055.643</v>
      </c>
      <c r="M147" s="21"/>
    </row>
    <row r="148" spans="1:13" x14ac:dyDescent="0.2">
      <c r="A148" s="20" t="s">
        <v>32</v>
      </c>
      <c r="B148" s="10">
        <v>330.39600000000002</v>
      </c>
      <c r="D148" s="8">
        <v>351.50200000000001</v>
      </c>
      <c r="E148" s="21"/>
      <c r="H148" s="22">
        <v>330.39600000000002</v>
      </c>
      <c r="J148" s="10">
        <v>389.88</v>
      </c>
      <c r="L148" s="39">
        <v>596.26800000000003</v>
      </c>
      <c r="M148" s="21"/>
    </row>
    <row r="149" spans="1:13" x14ac:dyDescent="0.2">
      <c r="A149" s="20" t="s">
        <v>33</v>
      </c>
      <c r="B149" s="10">
        <v>143.88</v>
      </c>
      <c r="D149" s="8">
        <v>152.768</v>
      </c>
      <c r="E149" s="21"/>
      <c r="H149" s="22">
        <v>143.88</v>
      </c>
      <c r="J149" s="10">
        <v>465.90600000000001</v>
      </c>
      <c r="L149" s="39">
        <v>235.63900000000001</v>
      </c>
      <c r="M149" s="21"/>
    </row>
    <row r="150" spans="1:13" x14ac:dyDescent="0.2">
      <c r="A150" s="20" t="s">
        <v>34</v>
      </c>
      <c r="B150" s="10">
        <v>290.76799999999997</v>
      </c>
      <c r="D150" s="8">
        <v>315.94600000000003</v>
      </c>
      <c r="E150" s="21"/>
      <c r="H150" s="22">
        <v>290.76799999999997</v>
      </c>
      <c r="J150" s="10">
        <v>491.01799999999997</v>
      </c>
      <c r="L150" s="39">
        <v>322.86799999999999</v>
      </c>
      <c r="M150" s="21"/>
    </row>
    <row r="151" spans="1:13" x14ac:dyDescent="0.2">
      <c r="A151" s="20" t="s">
        <v>35</v>
      </c>
      <c r="B151" s="10">
        <v>362.23700000000002</v>
      </c>
      <c r="D151" s="8">
        <v>389.33199999999999</v>
      </c>
      <c r="E151" s="21"/>
      <c r="H151" s="22">
        <v>362.23700000000002</v>
      </c>
      <c r="J151" s="10">
        <v>243.97300000000001</v>
      </c>
      <c r="L151" s="39">
        <v>487.06400000000002</v>
      </c>
      <c r="M151" s="21"/>
    </row>
    <row r="152" spans="1:13" x14ac:dyDescent="0.2">
      <c r="A152" s="20" t="s">
        <v>36</v>
      </c>
      <c r="B152" s="10">
        <v>392.63099999999997</v>
      </c>
      <c r="D152" s="8">
        <v>425.96100000000001</v>
      </c>
      <c r="E152" s="21"/>
      <c r="H152" s="22">
        <v>392.63099999999997</v>
      </c>
      <c r="J152" s="10">
        <v>17.884</v>
      </c>
      <c r="L152" s="39">
        <v>40.841999999999999</v>
      </c>
      <c r="M152" s="21"/>
    </row>
    <row r="153" spans="1:13" x14ac:dyDescent="0.2">
      <c r="A153" s="20" t="s">
        <v>37</v>
      </c>
      <c r="B153" s="10">
        <v>14.878</v>
      </c>
      <c r="D153" s="8">
        <v>15.34</v>
      </c>
      <c r="E153" s="21"/>
      <c r="H153" s="22">
        <v>14.878</v>
      </c>
      <c r="J153" s="10">
        <v>6.9279999999999999</v>
      </c>
      <c r="L153" s="39">
        <v>5.3890000000000002</v>
      </c>
      <c r="M153" s="21"/>
    </row>
    <row r="154" spans="1:13" x14ac:dyDescent="0.2">
      <c r="A154" s="20" t="s">
        <v>26</v>
      </c>
      <c r="B154" s="10">
        <v>14.448</v>
      </c>
      <c r="D154" s="8">
        <v>14.705</v>
      </c>
      <c r="E154" s="21"/>
      <c r="H154" s="22">
        <v>14.448</v>
      </c>
      <c r="J154" s="10">
        <v>9.91</v>
      </c>
      <c r="L154" s="39">
        <v>10.047000000000001</v>
      </c>
      <c r="M154" s="21"/>
    </row>
    <row r="155" spans="1:13" x14ac:dyDescent="0.2">
      <c r="A155" s="20" t="s">
        <v>27</v>
      </c>
      <c r="B155" s="10">
        <v>12.792999999999999</v>
      </c>
      <c r="D155" s="8">
        <v>13.021000000000001</v>
      </c>
      <c r="E155" s="21"/>
      <c r="H155" s="22">
        <v>12.792999999999999</v>
      </c>
      <c r="J155" s="10">
        <v>8.6959999999999997</v>
      </c>
      <c r="L155" s="39">
        <v>8.8960000000000008</v>
      </c>
      <c r="M155" s="21"/>
    </row>
    <row r="156" spans="1:13" x14ac:dyDescent="0.2">
      <c r="A156" s="20" t="s">
        <v>28</v>
      </c>
      <c r="B156" s="10">
        <v>40.817</v>
      </c>
      <c r="D156" s="8">
        <v>42.673999999999999</v>
      </c>
      <c r="E156" s="21"/>
      <c r="H156" s="22">
        <v>40.817</v>
      </c>
      <c r="J156" s="10">
        <v>8.3610000000000007</v>
      </c>
      <c r="L156" s="39">
        <v>9.718</v>
      </c>
      <c r="M156" s="21"/>
    </row>
    <row r="157" spans="1:13" x14ac:dyDescent="0.2">
      <c r="A157" s="20" t="s">
        <v>29</v>
      </c>
      <c r="B157" s="10">
        <v>119.61</v>
      </c>
      <c r="D157" s="8">
        <v>125.754</v>
      </c>
      <c r="E157" s="21"/>
      <c r="H157" s="22">
        <v>119.61</v>
      </c>
      <c r="J157" s="10">
        <v>68.058000000000007</v>
      </c>
      <c r="L157" s="39">
        <v>80.296000000000006</v>
      </c>
      <c r="M157" s="21"/>
    </row>
    <row r="158" spans="1:13" x14ac:dyDescent="0.2">
      <c r="A158" s="20" t="s">
        <v>30</v>
      </c>
      <c r="B158" s="10">
        <v>365.15699999999998</v>
      </c>
      <c r="D158" s="8">
        <v>389.85500000000002</v>
      </c>
      <c r="E158" s="21"/>
      <c r="H158" s="22">
        <v>365.15699999999998</v>
      </c>
      <c r="J158" s="10">
        <v>479.34199999999998</v>
      </c>
      <c r="L158" s="39">
        <v>374.39299999999997</v>
      </c>
      <c r="M158" s="21"/>
    </row>
    <row r="159" spans="1:13" x14ac:dyDescent="0.2">
      <c r="A159" s="20" t="s">
        <v>31</v>
      </c>
      <c r="B159" s="10">
        <v>395.06299999999999</v>
      </c>
      <c r="D159" s="8">
        <v>424.09800000000001</v>
      </c>
      <c r="E159" s="21"/>
      <c r="H159" s="22">
        <v>395.06299999999999</v>
      </c>
      <c r="J159" s="10">
        <v>434.02800000000002</v>
      </c>
      <c r="L159" s="39">
        <v>539.15099999999995</v>
      </c>
      <c r="M159" s="21"/>
    </row>
    <row r="160" spans="1:13" x14ac:dyDescent="0.2">
      <c r="A160" s="20" t="s">
        <v>32</v>
      </c>
      <c r="B160" s="10">
        <v>355.27699999999999</v>
      </c>
      <c r="D160" s="8">
        <v>381.85500000000002</v>
      </c>
      <c r="E160" s="21"/>
      <c r="H160" s="22">
        <v>355.27699999999999</v>
      </c>
      <c r="J160" s="10">
        <v>420.83499999999998</v>
      </c>
      <c r="L160" s="39">
        <v>520.56700000000001</v>
      </c>
      <c r="M160" s="21"/>
    </row>
    <row r="161" spans="1:13" x14ac:dyDescent="0.2">
      <c r="A161" s="20" t="s">
        <v>33</v>
      </c>
      <c r="B161" s="10">
        <v>251.25399999999999</v>
      </c>
      <c r="D161" s="8">
        <v>271.238</v>
      </c>
      <c r="E161" s="21"/>
      <c r="H161" s="22">
        <v>251.25399999999999</v>
      </c>
      <c r="J161" s="10">
        <v>252.97200000000001</v>
      </c>
      <c r="L161" s="39">
        <v>346.97399999999999</v>
      </c>
      <c r="M161" s="21"/>
    </row>
    <row r="162" spans="1:13" x14ac:dyDescent="0.2">
      <c r="A162" s="20" t="s">
        <v>34</v>
      </c>
      <c r="B162" s="10">
        <v>370.19299999999998</v>
      </c>
      <c r="D162" s="8">
        <v>397.50599999999997</v>
      </c>
      <c r="E162" s="21"/>
      <c r="H162" s="22">
        <v>370.19299999999998</v>
      </c>
      <c r="J162" s="10">
        <v>245.46799999999999</v>
      </c>
      <c r="L162" s="39">
        <v>260.89400000000001</v>
      </c>
      <c r="M162" s="21"/>
    </row>
    <row r="163" spans="1:13" x14ac:dyDescent="0.2">
      <c r="A163" s="20" t="s">
        <v>35</v>
      </c>
      <c r="B163" s="10">
        <v>746.774</v>
      </c>
      <c r="D163" s="8">
        <v>821.92499999999995</v>
      </c>
      <c r="E163" s="21"/>
      <c r="H163" s="22">
        <v>746.774</v>
      </c>
      <c r="J163" s="10">
        <v>629.02099999999996</v>
      </c>
      <c r="L163" s="39">
        <v>202.238</v>
      </c>
      <c r="M163" s="21"/>
    </row>
    <row r="164" spans="1:13" x14ac:dyDescent="0.2">
      <c r="A164" s="20" t="s">
        <v>36</v>
      </c>
      <c r="B164" s="10">
        <v>48.567</v>
      </c>
      <c r="D164" s="8">
        <v>50.968000000000004</v>
      </c>
      <c r="E164" s="21"/>
      <c r="H164" s="22">
        <v>48.567</v>
      </c>
      <c r="J164" s="10">
        <v>105.062</v>
      </c>
      <c r="L164" s="39">
        <v>9.8740000000000006</v>
      </c>
      <c r="M164" s="21"/>
    </row>
    <row r="165" spans="1:13" x14ac:dyDescent="0.2">
      <c r="A165" s="20" t="s">
        <v>37</v>
      </c>
      <c r="B165" s="10">
        <v>12.702999999999999</v>
      </c>
      <c r="D165" s="8">
        <v>12.929</v>
      </c>
      <c r="E165" s="21"/>
      <c r="H165" s="22">
        <v>12.702999999999999</v>
      </c>
      <c r="J165" s="10">
        <v>8.7159999999999993</v>
      </c>
      <c r="L165" s="39">
        <v>8.8379999999999992</v>
      </c>
      <c r="M165" s="21"/>
    </row>
    <row r="166" spans="1:13" x14ac:dyDescent="0.2">
      <c r="A166" s="20" t="s">
        <v>26</v>
      </c>
      <c r="B166" s="10">
        <v>14.121</v>
      </c>
      <c r="D166" s="8">
        <v>14.396000000000001</v>
      </c>
      <c r="E166" s="21"/>
      <c r="H166" s="22">
        <v>14.121</v>
      </c>
      <c r="J166" s="10">
        <v>8.798</v>
      </c>
      <c r="L166" s="39">
        <v>8.9390000000000001</v>
      </c>
      <c r="M166" s="21"/>
    </row>
    <row r="167" spans="1:13" x14ac:dyDescent="0.2">
      <c r="A167" s="20" t="s">
        <v>27</v>
      </c>
      <c r="B167" s="10">
        <v>23.827999999999999</v>
      </c>
      <c r="D167" s="8">
        <v>24.577999999999999</v>
      </c>
      <c r="E167" s="21"/>
      <c r="H167" s="22">
        <v>23.827999999999999</v>
      </c>
      <c r="J167" s="10">
        <v>8.6370000000000005</v>
      </c>
      <c r="L167" s="39">
        <v>15.675000000000001</v>
      </c>
      <c r="M167" s="21"/>
    </row>
    <row r="168" spans="1:13" x14ac:dyDescent="0.2">
      <c r="A168" s="20" t="s">
        <v>28</v>
      </c>
      <c r="B168" s="10">
        <v>60.08</v>
      </c>
      <c r="D168" s="8">
        <v>62.652000000000001</v>
      </c>
      <c r="E168" s="21"/>
      <c r="H168" s="22">
        <v>60.08</v>
      </c>
      <c r="J168" s="10">
        <v>19.847999999999999</v>
      </c>
      <c r="L168" s="39">
        <v>38.119</v>
      </c>
      <c r="M168" s="21"/>
    </row>
    <row r="169" spans="1:13" x14ac:dyDescent="0.2">
      <c r="A169" s="20" t="s">
        <v>29</v>
      </c>
      <c r="B169" s="10">
        <v>175.80099999999999</v>
      </c>
      <c r="D169" s="8">
        <v>186.47</v>
      </c>
      <c r="E169" s="21"/>
      <c r="H169" s="22">
        <v>175.80099999999999</v>
      </c>
      <c r="J169" s="10">
        <v>79.673000000000002</v>
      </c>
      <c r="L169" s="39">
        <v>121.384</v>
      </c>
      <c r="M169" s="21"/>
    </row>
    <row r="170" spans="1:13" x14ac:dyDescent="0.2">
      <c r="A170" s="20" t="s">
        <v>30</v>
      </c>
      <c r="B170" s="10">
        <v>500.46</v>
      </c>
      <c r="D170" s="8">
        <v>535.53599999999994</v>
      </c>
      <c r="E170" s="21"/>
      <c r="H170" s="22">
        <v>500.46</v>
      </c>
      <c r="J170" s="10">
        <v>634.26400000000001</v>
      </c>
      <c r="L170" s="39">
        <v>549.53099999999995</v>
      </c>
      <c r="M170" s="21"/>
    </row>
    <row r="171" spans="1:13" x14ac:dyDescent="0.2">
      <c r="A171" s="20" t="s">
        <v>31</v>
      </c>
      <c r="B171" s="10">
        <v>785.88900000000001</v>
      </c>
      <c r="D171" s="8">
        <v>848.84</v>
      </c>
      <c r="E171" s="21"/>
      <c r="H171" s="22">
        <v>785.88900000000001</v>
      </c>
      <c r="J171" s="10">
        <v>799.75699999999995</v>
      </c>
      <c r="L171" s="39">
        <v>966.96400000000006</v>
      </c>
      <c r="M171" s="21"/>
    </row>
    <row r="172" spans="1:13" x14ac:dyDescent="0.2">
      <c r="A172" s="20" t="s">
        <v>32</v>
      </c>
      <c r="B172" s="10">
        <v>338.16800000000001</v>
      </c>
      <c r="D172" s="8">
        <v>361.56099999999998</v>
      </c>
      <c r="E172" s="21"/>
      <c r="H172" s="22">
        <v>338.16800000000001</v>
      </c>
      <c r="J172" s="10">
        <v>461.66399999999999</v>
      </c>
      <c r="L172" s="39">
        <v>560.46699999999998</v>
      </c>
      <c r="M172" s="21"/>
    </row>
    <row r="173" spans="1:13" x14ac:dyDescent="0.2">
      <c r="A173" s="20" t="s">
        <v>33</v>
      </c>
      <c r="B173" s="10">
        <v>170.09</v>
      </c>
      <c r="D173" s="8">
        <v>182.44200000000001</v>
      </c>
      <c r="E173" s="21"/>
      <c r="H173" s="22">
        <v>170.09</v>
      </c>
      <c r="J173" s="10">
        <v>348.48599999999999</v>
      </c>
      <c r="L173" s="39">
        <v>253.57</v>
      </c>
      <c r="M173" s="21"/>
    </row>
    <row r="174" spans="1:13" x14ac:dyDescent="0.2">
      <c r="A174" s="20" t="s">
        <v>34</v>
      </c>
      <c r="B174" s="10">
        <v>433.12099999999998</v>
      </c>
      <c r="D174" s="8">
        <v>476.08</v>
      </c>
      <c r="E174" s="21"/>
      <c r="H174" s="22">
        <v>433.12099999999998</v>
      </c>
      <c r="J174" s="10">
        <v>261.99</v>
      </c>
      <c r="L174" s="39">
        <v>193.98400000000001</v>
      </c>
      <c r="M174" s="21"/>
    </row>
    <row r="175" spans="1:13" x14ac:dyDescent="0.2">
      <c r="A175" s="20" t="s">
        <v>35</v>
      </c>
      <c r="B175" s="10">
        <v>398.036</v>
      </c>
      <c r="D175" s="8">
        <v>432.31</v>
      </c>
      <c r="E175" s="21"/>
      <c r="H175" s="22">
        <v>398.036</v>
      </c>
      <c r="J175" s="10">
        <v>231.726</v>
      </c>
      <c r="L175" s="39">
        <v>524.50800000000004</v>
      </c>
      <c r="M175" s="21"/>
    </row>
    <row r="176" spans="1:13" x14ac:dyDescent="0.2">
      <c r="A176" s="20" t="s">
        <v>36</v>
      </c>
      <c r="B176" s="10">
        <v>67.849000000000004</v>
      </c>
      <c r="D176" s="8">
        <v>70.744</v>
      </c>
      <c r="E176" s="21"/>
      <c r="H176" s="22">
        <v>67.849000000000004</v>
      </c>
      <c r="J176" s="10">
        <v>92.653000000000006</v>
      </c>
      <c r="L176" s="39">
        <v>47.253999999999998</v>
      </c>
      <c r="M176" s="21"/>
    </row>
    <row r="177" spans="1:13" x14ac:dyDescent="0.2">
      <c r="A177" s="20" t="s">
        <v>37</v>
      </c>
      <c r="B177" s="10">
        <v>22.289000000000001</v>
      </c>
      <c r="D177" s="8">
        <v>22.911999999999999</v>
      </c>
      <c r="E177" s="21"/>
      <c r="H177" s="22">
        <v>22.289000000000001</v>
      </c>
      <c r="J177" s="10">
        <v>17.681000000000001</v>
      </c>
      <c r="L177" s="39">
        <v>16.507999999999999</v>
      </c>
      <c r="M177" s="21"/>
    </row>
    <row r="178" spans="1:13" x14ac:dyDescent="0.2">
      <c r="A178" s="20" t="s">
        <v>26</v>
      </c>
      <c r="B178" s="10">
        <v>12.112</v>
      </c>
      <c r="D178" s="8">
        <v>12.35</v>
      </c>
      <c r="E178" s="21"/>
      <c r="H178" s="22">
        <v>12.112</v>
      </c>
      <c r="J178" s="10">
        <v>7.4409999999999998</v>
      </c>
      <c r="L178" s="39">
        <v>7.2990000000000004</v>
      </c>
      <c r="M178" s="21"/>
    </row>
    <row r="179" spans="1:13" x14ac:dyDescent="0.2">
      <c r="A179" s="20" t="s">
        <v>27</v>
      </c>
      <c r="B179" s="10">
        <v>21.064</v>
      </c>
      <c r="D179" s="8">
        <v>21.716000000000001</v>
      </c>
      <c r="E179" s="21"/>
      <c r="H179" s="22">
        <v>21.064</v>
      </c>
      <c r="J179" s="10">
        <v>8.9</v>
      </c>
      <c r="L179" s="39">
        <v>20.465</v>
      </c>
      <c r="M179" s="21"/>
    </row>
    <row r="180" spans="1:13" x14ac:dyDescent="0.2">
      <c r="A180" s="20" t="s">
        <v>28</v>
      </c>
      <c r="B180" s="10">
        <v>54.645000000000003</v>
      </c>
      <c r="D180" s="8">
        <v>57.386000000000003</v>
      </c>
      <c r="E180" s="21"/>
      <c r="H180" s="22">
        <v>54.645000000000003</v>
      </c>
      <c r="J180" s="10">
        <v>8.1519999999999992</v>
      </c>
      <c r="L180" s="39">
        <v>28.213999999999999</v>
      </c>
      <c r="M180" s="21"/>
    </row>
    <row r="181" spans="1:13" x14ac:dyDescent="0.2">
      <c r="A181" s="20" t="s">
        <v>29</v>
      </c>
      <c r="B181" s="10">
        <v>207.72499999999999</v>
      </c>
      <c r="D181" s="8">
        <v>220.64699999999999</v>
      </c>
      <c r="E181" s="21"/>
      <c r="H181" s="22">
        <v>207.72499999999999</v>
      </c>
      <c r="J181" s="10">
        <v>70.974999999999994</v>
      </c>
      <c r="L181" s="39">
        <v>156.447</v>
      </c>
      <c r="M181" s="21"/>
    </row>
    <row r="182" spans="1:13" x14ac:dyDescent="0.2">
      <c r="A182" s="20" t="s">
        <v>30</v>
      </c>
      <c r="B182" s="10">
        <v>653.61500000000001</v>
      </c>
      <c r="D182" s="8">
        <v>704.01400000000001</v>
      </c>
      <c r="E182" s="21"/>
      <c r="H182" s="22">
        <v>653.61500000000001</v>
      </c>
      <c r="J182" s="10">
        <v>649.37099999999998</v>
      </c>
      <c r="L182" s="39">
        <v>431.30900000000003</v>
      </c>
      <c r="M182" s="21"/>
    </row>
    <row r="183" spans="1:13" x14ac:dyDescent="0.2">
      <c r="A183" s="20" t="s">
        <v>31</v>
      </c>
      <c r="B183" s="10">
        <v>458.3</v>
      </c>
      <c r="D183" s="8">
        <v>491.38799999999998</v>
      </c>
      <c r="E183" s="21"/>
      <c r="H183" s="22">
        <v>458.3</v>
      </c>
      <c r="J183" s="10">
        <v>489.37799999999999</v>
      </c>
      <c r="L183" s="39">
        <v>686.17700000000002</v>
      </c>
      <c r="M183" s="21"/>
    </row>
    <row r="184" spans="1:13" x14ac:dyDescent="0.2">
      <c r="A184" s="20" t="s">
        <v>32</v>
      </c>
      <c r="B184" s="10">
        <v>311.04899999999998</v>
      </c>
      <c r="D184" s="8">
        <v>332.05700000000002</v>
      </c>
      <c r="E184" s="21"/>
      <c r="H184" s="22">
        <v>311.04899999999998</v>
      </c>
      <c r="J184" s="10">
        <v>377.60599999999999</v>
      </c>
      <c r="L184" s="39">
        <v>641.327</v>
      </c>
      <c r="M184" s="21"/>
    </row>
    <row r="185" spans="1:13" x14ac:dyDescent="0.2">
      <c r="A185" s="20" t="s">
        <v>33</v>
      </c>
      <c r="B185" s="10">
        <v>143.572</v>
      </c>
      <c r="D185" s="8">
        <v>151.74299999999999</v>
      </c>
      <c r="E185" s="21"/>
      <c r="H185" s="22">
        <v>143.572</v>
      </c>
      <c r="J185" s="10">
        <v>251.87700000000001</v>
      </c>
      <c r="L185" s="39">
        <v>269.70100000000002</v>
      </c>
      <c r="M185" s="21"/>
    </row>
    <row r="186" spans="1:13" x14ac:dyDescent="0.2">
      <c r="A186" s="20" t="s">
        <v>34</v>
      </c>
      <c r="B186" s="10">
        <v>527.00199999999995</v>
      </c>
      <c r="D186" s="8">
        <v>578.93799999999999</v>
      </c>
      <c r="E186" s="21"/>
      <c r="H186" s="22">
        <v>527.00199999999995</v>
      </c>
      <c r="J186" s="10">
        <v>535.31700000000001</v>
      </c>
      <c r="L186" s="39">
        <v>300.65600000000001</v>
      </c>
      <c r="M186" s="21"/>
    </row>
    <row r="187" spans="1:13" x14ac:dyDescent="0.2">
      <c r="A187" s="20" t="s">
        <v>35</v>
      </c>
      <c r="B187" s="10">
        <v>186.92599999999999</v>
      </c>
      <c r="D187" s="8">
        <v>201.249</v>
      </c>
      <c r="E187" s="21"/>
      <c r="H187" s="22">
        <v>186.92599999999999</v>
      </c>
      <c r="J187" s="10">
        <v>258.91699999999997</v>
      </c>
      <c r="L187" s="39">
        <v>211.82</v>
      </c>
      <c r="M187" s="21"/>
    </row>
    <row r="188" spans="1:13" x14ac:dyDescent="0.2">
      <c r="A188" s="20" t="s">
        <v>36</v>
      </c>
      <c r="B188" s="10">
        <v>37.168999999999997</v>
      </c>
      <c r="D188" s="8">
        <v>39.006</v>
      </c>
      <c r="E188" s="21"/>
      <c r="H188" s="22">
        <v>37.168999999999997</v>
      </c>
      <c r="J188" s="10">
        <v>62.554000000000002</v>
      </c>
      <c r="L188" s="39">
        <v>28.957999999999998</v>
      </c>
      <c r="M188" s="21"/>
    </row>
    <row r="189" spans="1:13" x14ac:dyDescent="0.2">
      <c r="A189" s="20" t="s">
        <v>37</v>
      </c>
      <c r="B189" s="10">
        <v>14.688000000000001</v>
      </c>
      <c r="D189" s="8">
        <v>15.019</v>
      </c>
      <c r="E189" s="21"/>
      <c r="H189" s="22">
        <v>14.688000000000001</v>
      </c>
      <c r="J189" s="10">
        <v>11.993</v>
      </c>
      <c r="L189" s="39">
        <v>8.2219999999999995</v>
      </c>
      <c r="M189" s="21"/>
    </row>
    <row r="190" spans="1:13" x14ac:dyDescent="0.2">
      <c r="A190" s="20" t="s">
        <v>26</v>
      </c>
      <c r="B190" s="10">
        <v>14.218999999999999</v>
      </c>
      <c r="D190" s="8">
        <v>14.483000000000001</v>
      </c>
      <c r="E190" s="21"/>
      <c r="H190" s="22">
        <v>14.218999999999999</v>
      </c>
      <c r="J190" s="10">
        <v>9.1739999999999995</v>
      </c>
      <c r="L190" s="39">
        <v>9.2729999999999997</v>
      </c>
      <c r="M190" s="21"/>
    </row>
    <row r="191" spans="1:13" x14ac:dyDescent="0.2">
      <c r="A191" s="20" t="s">
        <v>27</v>
      </c>
      <c r="B191" s="10">
        <v>13.407</v>
      </c>
      <c r="D191" s="8">
        <v>13.7</v>
      </c>
      <c r="E191" s="21"/>
      <c r="H191" s="22">
        <v>13.407</v>
      </c>
      <c r="J191" s="10">
        <v>12.488</v>
      </c>
      <c r="L191" s="39">
        <v>12.108000000000001</v>
      </c>
      <c r="M191" s="21"/>
    </row>
    <row r="192" spans="1:13" x14ac:dyDescent="0.2">
      <c r="A192" s="20" t="s">
        <v>28</v>
      </c>
      <c r="B192" s="10">
        <v>36.256999999999998</v>
      </c>
      <c r="D192" s="8">
        <v>37.530999999999999</v>
      </c>
      <c r="E192" s="21"/>
      <c r="H192" s="22">
        <v>36.256999999999998</v>
      </c>
      <c r="J192" s="10">
        <v>9.1630000000000003</v>
      </c>
      <c r="L192" s="39">
        <v>17.532</v>
      </c>
      <c r="M192" s="21"/>
    </row>
    <row r="193" spans="1:13" x14ac:dyDescent="0.2">
      <c r="A193" s="20" t="s">
        <v>29</v>
      </c>
      <c r="B193" s="10">
        <v>278.053</v>
      </c>
      <c r="D193" s="8">
        <v>294.14600000000002</v>
      </c>
      <c r="E193" s="21"/>
      <c r="H193" s="22">
        <v>278.053</v>
      </c>
      <c r="J193" s="10">
        <v>161.905</v>
      </c>
      <c r="L193" s="39">
        <v>193.73599999999999</v>
      </c>
      <c r="M193" s="21"/>
    </row>
    <row r="194" spans="1:13" x14ac:dyDescent="0.2">
      <c r="A194" s="20" t="s">
        <v>30</v>
      </c>
      <c r="B194" s="10">
        <v>416.47399999999999</v>
      </c>
      <c r="D194" s="8">
        <v>445.43599999999998</v>
      </c>
      <c r="E194" s="21"/>
      <c r="H194" s="22">
        <v>416.47399999999999</v>
      </c>
      <c r="J194" s="10">
        <v>493.41300000000001</v>
      </c>
      <c r="L194" s="39">
        <v>390.23</v>
      </c>
      <c r="M194" s="21"/>
    </row>
    <row r="195" spans="1:13" x14ac:dyDescent="0.2">
      <c r="A195" s="20" t="s">
        <v>31</v>
      </c>
      <c r="B195" s="10">
        <v>582.495</v>
      </c>
      <c r="D195" s="8">
        <v>625.13199999999995</v>
      </c>
      <c r="E195" s="21"/>
      <c r="H195" s="22">
        <v>582.495</v>
      </c>
      <c r="J195" s="10">
        <v>540.26099999999997</v>
      </c>
      <c r="L195" s="39">
        <v>897.87900000000002</v>
      </c>
      <c r="M195" s="21"/>
    </row>
    <row r="196" spans="1:13" x14ac:dyDescent="0.2">
      <c r="A196" s="20" t="s">
        <v>32</v>
      </c>
      <c r="B196" s="10">
        <v>314.96899999999999</v>
      </c>
      <c r="D196" s="8">
        <v>336.78300000000002</v>
      </c>
      <c r="E196" s="21"/>
      <c r="H196" s="22">
        <v>314.96899999999999</v>
      </c>
      <c r="J196" s="10">
        <v>410.43599999999998</v>
      </c>
      <c r="L196" s="39">
        <v>471.95600000000002</v>
      </c>
      <c r="M196" s="21"/>
    </row>
    <row r="197" spans="1:13" x14ac:dyDescent="0.2">
      <c r="A197" s="20" t="s">
        <v>33</v>
      </c>
      <c r="B197" s="10">
        <v>509.98599999999999</v>
      </c>
      <c r="D197" s="8">
        <v>552.04300000000001</v>
      </c>
      <c r="E197" s="21"/>
      <c r="H197" s="22">
        <v>509.98599999999999</v>
      </c>
      <c r="J197" s="10">
        <v>416.47199999999998</v>
      </c>
      <c r="L197" s="39">
        <v>493.91300000000001</v>
      </c>
      <c r="M197" s="21"/>
    </row>
    <row r="198" spans="1:13" x14ac:dyDescent="0.2">
      <c r="A198" s="20" t="s">
        <v>34</v>
      </c>
      <c r="B198" s="10">
        <v>391.90800000000002</v>
      </c>
      <c r="D198" s="8">
        <v>424.96</v>
      </c>
      <c r="E198" s="21"/>
      <c r="H198" s="22">
        <v>391.90800000000002</v>
      </c>
      <c r="J198" s="10">
        <v>298.601</v>
      </c>
      <c r="L198" s="39">
        <v>256.57900000000001</v>
      </c>
      <c r="M198" s="21"/>
    </row>
    <row r="199" spans="1:13" x14ac:dyDescent="0.2">
      <c r="A199" s="20" t="s">
        <v>35</v>
      </c>
      <c r="B199" s="10">
        <v>229.12700000000001</v>
      </c>
      <c r="D199" s="8">
        <v>244.67099999999999</v>
      </c>
      <c r="E199" s="21"/>
      <c r="H199" s="22">
        <v>229.12700000000001</v>
      </c>
      <c r="J199" s="10">
        <v>160.80099999999999</v>
      </c>
      <c r="L199" s="39">
        <v>164.345</v>
      </c>
      <c r="M199" s="21"/>
    </row>
    <row r="200" spans="1:13" x14ac:dyDescent="0.2">
      <c r="A200" s="20" t="s">
        <v>36</v>
      </c>
      <c r="B200" s="10">
        <v>34.29</v>
      </c>
      <c r="D200" s="8">
        <v>35.86</v>
      </c>
      <c r="E200" s="21"/>
      <c r="H200" s="22">
        <v>34.29</v>
      </c>
      <c r="J200" s="10">
        <v>328.84500000000003</v>
      </c>
      <c r="L200" s="39">
        <v>45.347999999999999</v>
      </c>
      <c r="M200" s="21"/>
    </row>
    <row r="201" spans="1:13" x14ac:dyDescent="0.2">
      <c r="A201" s="20" t="s">
        <v>37</v>
      </c>
      <c r="B201" s="10">
        <v>10.895</v>
      </c>
      <c r="D201" s="8">
        <v>11.089</v>
      </c>
      <c r="E201" s="21"/>
      <c r="H201" s="22">
        <v>10.895</v>
      </c>
      <c r="J201" s="10">
        <v>10.084</v>
      </c>
      <c r="L201" s="39">
        <v>7.6639999999999997</v>
      </c>
      <c r="M201" s="21"/>
    </row>
    <row r="202" spans="1:13" x14ac:dyDescent="0.2">
      <c r="A202" s="20" t="s">
        <v>26</v>
      </c>
      <c r="B202" s="10">
        <v>16.061</v>
      </c>
      <c r="D202" s="8">
        <v>16.41</v>
      </c>
      <c r="E202" s="21"/>
      <c r="H202" s="22">
        <v>16.061</v>
      </c>
      <c r="J202" s="10">
        <v>13.929</v>
      </c>
      <c r="L202" s="39">
        <v>10.784000000000001</v>
      </c>
      <c r="M202" s="21"/>
    </row>
    <row r="203" spans="1:13" x14ac:dyDescent="0.2">
      <c r="A203" s="20" t="s">
        <v>27</v>
      </c>
      <c r="B203" s="10">
        <v>38.158000000000001</v>
      </c>
      <c r="D203" s="8">
        <v>39.722999999999999</v>
      </c>
      <c r="E203" s="21"/>
      <c r="H203" s="22">
        <v>38.158000000000001</v>
      </c>
      <c r="J203" s="10">
        <v>34.463999999999999</v>
      </c>
      <c r="L203" s="39">
        <v>39.145000000000003</v>
      </c>
      <c r="M203" s="21"/>
    </row>
    <row r="204" spans="1:13" x14ac:dyDescent="0.2">
      <c r="A204" s="20" t="s">
        <v>28</v>
      </c>
      <c r="B204" s="10">
        <v>132.14099999999999</v>
      </c>
      <c r="D204" s="8">
        <v>139.35400000000001</v>
      </c>
      <c r="E204" s="21"/>
      <c r="H204" s="22">
        <v>132.14099999999999</v>
      </c>
      <c r="J204" s="10">
        <v>14.775</v>
      </c>
      <c r="L204" s="39">
        <v>61.341999999999999</v>
      </c>
      <c r="M204" s="21"/>
    </row>
    <row r="205" spans="1:13" x14ac:dyDescent="0.2">
      <c r="A205" s="20" t="s">
        <v>29</v>
      </c>
      <c r="B205" s="10">
        <v>249.523</v>
      </c>
      <c r="D205" s="8">
        <v>265.99400000000003</v>
      </c>
      <c r="E205" s="21"/>
      <c r="H205" s="22">
        <v>249.523</v>
      </c>
      <c r="J205" s="10">
        <v>107.06</v>
      </c>
      <c r="L205" s="39">
        <v>198.74299999999999</v>
      </c>
      <c r="M205" s="21"/>
    </row>
    <row r="206" spans="1:13" x14ac:dyDescent="0.2">
      <c r="A206" s="20" t="s">
        <v>30</v>
      </c>
      <c r="B206" s="10">
        <v>514.09100000000001</v>
      </c>
      <c r="D206" s="8">
        <v>552.22400000000005</v>
      </c>
      <c r="E206" s="21"/>
      <c r="H206" s="22">
        <v>514.09100000000001</v>
      </c>
      <c r="J206" s="10">
        <v>628.33299999999997</v>
      </c>
      <c r="L206" s="39">
        <v>545.45000000000005</v>
      </c>
      <c r="M206" s="21"/>
    </row>
    <row r="207" spans="1:13" x14ac:dyDescent="0.2">
      <c r="A207" s="20" t="s">
        <v>31</v>
      </c>
      <c r="B207" s="10">
        <v>618.94200000000001</v>
      </c>
      <c r="D207" s="8">
        <v>663.553</v>
      </c>
      <c r="E207" s="21"/>
      <c r="H207" s="22">
        <v>618.94200000000001</v>
      </c>
      <c r="J207" s="10">
        <v>649.01599999999996</v>
      </c>
      <c r="L207" s="39">
        <v>922.81500000000005</v>
      </c>
      <c r="M207" s="21"/>
    </row>
    <row r="208" spans="1:13" x14ac:dyDescent="0.2">
      <c r="A208" s="20" t="s">
        <v>32</v>
      </c>
      <c r="B208" s="10">
        <v>476.53500000000003</v>
      </c>
      <c r="D208" s="8">
        <v>515.04700000000003</v>
      </c>
      <c r="E208" s="21"/>
      <c r="H208" s="22">
        <v>476.53500000000003</v>
      </c>
      <c r="J208" s="10">
        <v>659.57399999999996</v>
      </c>
      <c r="L208" s="39">
        <v>694.16399999999999</v>
      </c>
      <c r="M208" s="21"/>
    </row>
    <row r="209" spans="1:13" x14ac:dyDescent="0.2">
      <c r="A209" s="20" t="s">
        <v>33</v>
      </c>
      <c r="B209" s="10">
        <v>280.28399999999999</v>
      </c>
      <c r="D209" s="8">
        <v>300.46499999999997</v>
      </c>
      <c r="E209" s="21"/>
      <c r="H209" s="22">
        <v>280.28399999999999</v>
      </c>
      <c r="J209" s="10">
        <v>384.38799999999998</v>
      </c>
      <c r="L209" s="39">
        <v>215.42099999999999</v>
      </c>
      <c r="M209" s="21"/>
    </row>
    <row r="210" spans="1:13" x14ac:dyDescent="0.2">
      <c r="A210" s="20" t="s">
        <v>34</v>
      </c>
      <c r="B210" s="10">
        <v>682.28300000000002</v>
      </c>
      <c r="D210" s="8">
        <v>743.00800000000004</v>
      </c>
      <c r="E210" s="21"/>
      <c r="H210" s="22">
        <v>682.28300000000002</v>
      </c>
      <c r="J210" s="10">
        <v>361.56099999999998</v>
      </c>
      <c r="L210" s="39">
        <v>334.96699999999998</v>
      </c>
      <c r="M210" s="21"/>
    </row>
    <row r="211" spans="1:13" x14ac:dyDescent="0.2">
      <c r="A211" s="20" t="s">
        <v>35</v>
      </c>
      <c r="B211" s="10">
        <v>481.46800000000002</v>
      </c>
      <c r="D211" s="8">
        <v>527.221</v>
      </c>
      <c r="E211" s="21"/>
      <c r="H211" s="22">
        <v>481.46800000000002</v>
      </c>
      <c r="J211" s="10">
        <v>980.99199999999996</v>
      </c>
      <c r="L211" s="39">
        <v>734.28399999999999</v>
      </c>
      <c r="M211" s="21"/>
    </row>
    <row r="212" spans="1:13" x14ac:dyDescent="0.2">
      <c r="A212" s="20" t="s">
        <v>36</v>
      </c>
      <c r="B212" s="10">
        <v>148.523</v>
      </c>
      <c r="D212" s="8">
        <v>159.495</v>
      </c>
      <c r="E212" s="21"/>
      <c r="H212" s="22">
        <v>148.523</v>
      </c>
      <c r="J212" s="10">
        <v>60.801000000000002</v>
      </c>
      <c r="L212" s="39">
        <v>48.97</v>
      </c>
      <c r="M212" s="21"/>
    </row>
    <row r="213" spans="1:13" x14ac:dyDescent="0.2">
      <c r="A213" s="20" t="s">
        <v>37</v>
      </c>
      <c r="B213" s="10">
        <v>10.17</v>
      </c>
      <c r="D213" s="8">
        <v>10.379</v>
      </c>
      <c r="E213" s="21"/>
      <c r="H213" s="22">
        <v>10.17</v>
      </c>
      <c r="J213" s="10">
        <v>23.416</v>
      </c>
      <c r="L213" s="39">
        <v>6.6230000000000002</v>
      </c>
      <c r="M213" s="21"/>
    </row>
    <row r="214" spans="1:13" x14ac:dyDescent="0.2">
      <c r="A214" s="20" t="s">
        <v>26</v>
      </c>
      <c r="B214" s="10">
        <v>15.879</v>
      </c>
      <c r="D214" s="8">
        <v>16.164999999999999</v>
      </c>
      <c r="E214" s="21"/>
      <c r="H214" s="22">
        <v>15.879</v>
      </c>
      <c r="J214" s="10">
        <v>11.098000000000001</v>
      </c>
      <c r="L214" s="39">
        <v>11.393000000000001</v>
      </c>
      <c r="M214" s="21"/>
    </row>
    <row r="215" spans="1:13" x14ac:dyDescent="0.2">
      <c r="A215" s="20" t="s">
        <v>27</v>
      </c>
      <c r="B215" s="10">
        <v>22.016999999999999</v>
      </c>
      <c r="D215" s="8">
        <v>22.437999999999999</v>
      </c>
      <c r="E215" s="21"/>
      <c r="H215" s="22">
        <v>22.016999999999999</v>
      </c>
      <c r="J215" s="10">
        <v>14.379</v>
      </c>
      <c r="L215" s="39">
        <v>14.798</v>
      </c>
      <c r="M215" s="21"/>
    </row>
    <row r="216" spans="1:13" x14ac:dyDescent="0.2">
      <c r="A216" s="20" t="s">
        <v>28</v>
      </c>
      <c r="B216" s="10">
        <v>36.655999999999999</v>
      </c>
      <c r="D216" s="8">
        <v>38.045999999999999</v>
      </c>
      <c r="E216" s="21"/>
      <c r="H216" s="22">
        <v>36.655999999999999</v>
      </c>
      <c r="J216" s="10">
        <v>11.09</v>
      </c>
      <c r="L216" s="39">
        <v>15.654999999999999</v>
      </c>
      <c r="M216" s="21"/>
    </row>
    <row r="217" spans="1:13" x14ac:dyDescent="0.2">
      <c r="A217" s="20" t="s">
        <v>29</v>
      </c>
      <c r="B217" s="10">
        <v>89.05</v>
      </c>
      <c r="D217" s="8">
        <v>93.581000000000003</v>
      </c>
      <c r="E217" s="21"/>
      <c r="H217" s="22">
        <v>89.05</v>
      </c>
      <c r="J217" s="10">
        <v>40.649000000000001</v>
      </c>
      <c r="L217" s="39">
        <v>61.737000000000002</v>
      </c>
      <c r="M217" s="21"/>
    </row>
    <row r="218" spans="1:13" x14ac:dyDescent="0.2">
      <c r="A218" s="20" t="s">
        <v>30</v>
      </c>
      <c r="B218" s="10">
        <v>358.13099999999997</v>
      </c>
      <c r="D218" s="8">
        <v>384.53199999999998</v>
      </c>
      <c r="E218" s="21"/>
      <c r="H218" s="22">
        <v>358.13099999999997</v>
      </c>
      <c r="J218" s="10">
        <v>380.79899999999998</v>
      </c>
      <c r="L218" s="39">
        <v>310.68700000000001</v>
      </c>
      <c r="M218" s="21"/>
    </row>
    <row r="219" spans="1:13" x14ac:dyDescent="0.2">
      <c r="A219" s="20" t="s">
        <v>31</v>
      </c>
      <c r="B219" s="10">
        <v>582.33699999999999</v>
      </c>
      <c r="D219" s="8">
        <v>626.95100000000002</v>
      </c>
      <c r="E219" s="21"/>
      <c r="H219" s="22">
        <v>582.33699999999999</v>
      </c>
      <c r="J219" s="10">
        <v>524.27300000000002</v>
      </c>
      <c r="L219" s="39">
        <v>773.77800000000002</v>
      </c>
      <c r="M219" s="21"/>
    </row>
    <row r="220" spans="1:13" x14ac:dyDescent="0.2">
      <c r="A220" s="20" t="s">
        <v>32</v>
      </c>
      <c r="B220" s="10">
        <v>386.53199999999998</v>
      </c>
      <c r="D220" s="8">
        <v>413.85</v>
      </c>
      <c r="E220" s="21"/>
      <c r="H220" s="22">
        <v>386.53199999999998</v>
      </c>
      <c r="J220" s="10">
        <v>503.47</v>
      </c>
      <c r="L220" s="39">
        <v>572.77200000000005</v>
      </c>
      <c r="M220" s="21"/>
    </row>
    <row r="221" spans="1:13" x14ac:dyDescent="0.2">
      <c r="A221" s="20" t="s">
        <v>33</v>
      </c>
      <c r="B221" s="10">
        <v>263.18299999999999</v>
      </c>
      <c r="D221" s="8">
        <v>283.75299999999999</v>
      </c>
      <c r="E221" s="21"/>
      <c r="H221" s="22">
        <v>263.18299999999999</v>
      </c>
      <c r="J221" s="10">
        <v>492.73500000000001</v>
      </c>
      <c r="L221" s="39">
        <v>459.10300000000001</v>
      </c>
      <c r="M221" s="21"/>
    </row>
    <row r="222" spans="1:13" x14ac:dyDescent="0.2">
      <c r="A222" s="20" t="s">
        <v>34</v>
      </c>
      <c r="B222" s="10">
        <v>231.08600000000001</v>
      </c>
      <c r="D222" s="8">
        <v>252.06800000000001</v>
      </c>
      <c r="E222" s="21"/>
      <c r="H222" s="22">
        <v>231.08600000000001</v>
      </c>
      <c r="J222" s="10">
        <v>254.047</v>
      </c>
      <c r="L222" s="39">
        <v>242.31700000000001</v>
      </c>
      <c r="M222" s="21"/>
    </row>
    <row r="223" spans="1:13" x14ac:dyDescent="0.2">
      <c r="A223" s="20" t="s">
        <v>35</v>
      </c>
      <c r="B223" s="10">
        <v>221.685</v>
      </c>
      <c r="D223" s="8">
        <v>237.80600000000001</v>
      </c>
      <c r="E223" s="21"/>
      <c r="H223" s="22">
        <v>221.685</v>
      </c>
      <c r="J223" s="10">
        <v>188.87</v>
      </c>
      <c r="L223" s="39">
        <v>258.47399999999999</v>
      </c>
      <c r="M223" s="21"/>
    </row>
    <row r="224" spans="1:13" x14ac:dyDescent="0.2">
      <c r="A224" s="20" t="s">
        <v>36</v>
      </c>
      <c r="B224" s="10">
        <v>34.954999999999998</v>
      </c>
      <c r="D224" s="8">
        <v>36.055999999999997</v>
      </c>
      <c r="E224" s="21"/>
      <c r="H224" s="22">
        <v>34.954999999999998</v>
      </c>
      <c r="J224" s="10">
        <v>62.655999999999999</v>
      </c>
      <c r="L224" s="39">
        <v>22.199000000000002</v>
      </c>
      <c r="M224" s="21"/>
    </row>
    <row r="225" spans="1:13" x14ac:dyDescent="0.2">
      <c r="A225" s="20" t="s">
        <v>37</v>
      </c>
      <c r="B225" s="10">
        <v>16.169</v>
      </c>
      <c r="D225" s="8">
        <v>16.46</v>
      </c>
      <c r="E225" s="21"/>
      <c r="H225" s="22">
        <v>16.169</v>
      </c>
      <c r="J225" s="10">
        <v>21.556999999999999</v>
      </c>
      <c r="L225" s="39">
        <v>11.565</v>
      </c>
      <c r="M225" s="21"/>
    </row>
    <row r="226" spans="1:13" x14ac:dyDescent="0.2">
      <c r="A226" s="20" t="s">
        <v>26</v>
      </c>
      <c r="B226" s="10">
        <v>32.512</v>
      </c>
      <c r="D226" s="8">
        <v>33.47</v>
      </c>
      <c r="E226" s="21"/>
      <c r="H226" s="22">
        <v>32.512</v>
      </c>
      <c r="J226" s="10">
        <v>16.074000000000002</v>
      </c>
      <c r="L226" s="39">
        <v>16.201000000000001</v>
      </c>
      <c r="M226" s="21"/>
    </row>
    <row r="227" spans="1:13" x14ac:dyDescent="0.2">
      <c r="A227" s="20" t="s">
        <v>27</v>
      </c>
      <c r="B227" s="10">
        <v>46.981000000000002</v>
      </c>
      <c r="D227" s="8">
        <v>48.829000000000001</v>
      </c>
      <c r="E227" s="21"/>
      <c r="H227" s="22">
        <v>46.981000000000002</v>
      </c>
      <c r="J227" s="10">
        <v>25.119</v>
      </c>
      <c r="L227" s="39">
        <v>57.765999999999998</v>
      </c>
      <c r="M227" s="21"/>
    </row>
    <row r="228" spans="1:13" x14ac:dyDescent="0.2">
      <c r="A228" s="20" t="s">
        <v>28</v>
      </c>
      <c r="B228" s="10">
        <v>127.90300000000001</v>
      </c>
      <c r="D228" s="8">
        <v>134.74199999999999</v>
      </c>
      <c r="E228" s="21"/>
      <c r="H228" s="22">
        <v>127.90300000000001</v>
      </c>
      <c r="J228" s="10">
        <v>32.796999999999997</v>
      </c>
      <c r="L228" s="39">
        <v>111.553</v>
      </c>
      <c r="M228" s="21"/>
    </row>
    <row r="229" spans="1:13" x14ac:dyDescent="0.2">
      <c r="A229" s="20" t="s">
        <v>29</v>
      </c>
      <c r="B229" s="10">
        <v>319.75200000000001</v>
      </c>
      <c r="D229" s="8">
        <v>342.95600000000002</v>
      </c>
      <c r="E229" s="21"/>
      <c r="H229" s="22">
        <v>319.75200000000001</v>
      </c>
      <c r="J229" s="10">
        <v>174.88800000000001</v>
      </c>
      <c r="L229" s="39">
        <v>332.25799999999998</v>
      </c>
      <c r="M229" s="21"/>
    </row>
    <row r="230" spans="1:13" x14ac:dyDescent="0.2">
      <c r="A230" s="20" t="s">
        <v>30</v>
      </c>
      <c r="B230" s="10">
        <v>573.22</v>
      </c>
      <c r="D230" s="8">
        <v>614.15200000000004</v>
      </c>
      <c r="E230" s="21"/>
      <c r="H230" s="22">
        <v>573.22</v>
      </c>
      <c r="J230" s="10">
        <v>719.36699999999996</v>
      </c>
      <c r="L230" s="39">
        <v>581.90200000000004</v>
      </c>
      <c r="M230" s="21"/>
    </row>
    <row r="231" spans="1:13" x14ac:dyDescent="0.2">
      <c r="A231" s="20" t="s">
        <v>31</v>
      </c>
      <c r="B231" s="10">
        <v>318.49400000000003</v>
      </c>
      <c r="D231" s="8">
        <v>340.25</v>
      </c>
      <c r="E231" s="21"/>
      <c r="H231" s="22">
        <v>318.49400000000003</v>
      </c>
      <c r="J231" s="10">
        <v>458.423</v>
      </c>
      <c r="L231" s="39">
        <v>505.93799999999999</v>
      </c>
      <c r="M231" s="21"/>
    </row>
    <row r="232" spans="1:13" x14ac:dyDescent="0.2">
      <c r="A232" s="20" t="s">
        <v>32</v>
      </c>
      <c r="B232" s="10">
        <v>217.01</v>
      </c>
      <c r="D232" s="8">
        <v>231.02500000000001</v>
      </c>
      <c r="E232" s="21"/>
      <c r="H232" s="22">
        <v>217.01</v>
      </c>
      <c r="J232" s="10">
        <v>312.88499999999999</v>
      </c>
      <c r="L232" s="39">
        <v>389.697</v>
      </c>
      <c r="M232" s="21"/>
    </row>
    <row r="233" spans="1:13" x14ac:dyDescent="0.2">
      <c r="A233" s="20" t="s">
        <v>33</v>
      </c>
      <c r="B233" s="10">
        <v>170.38900000000001</v>
      </c>
      <c r="D233" s="8">
        <v>182.465</v>
      </c>
      <c r="E233" s="21"/>
      <c r="H233" s="22">
        <v>170.38900000000001</v>
      </c>
      <c r="J233" s="10">
        <v>214.93100000000001</v>
      </c>
      <c r="L233" s="39">
        <v>141.25399999999999</v>
      </c>
      <c r="M233" s="21"/>
    </row>
    <row r="234" spans="1:13" x14ac:dyDescent="0.2">
      <c r="A234" s="20" t="s">
        <v>34</v>
      </c>
      <c r="B234" s="10">
        <v>225.00200000000001</v>
      </c>
      <c r="D234" s="8">
        <v>241.80799999999999</v>
      </c>
      <c r="E234" s="21"/>
      <c r="H234" s="22">
        <v>225.00200000000001</v>
      </c>
      <c r="J234" s="10">
        <v>177.07</v>
      </c>
      <c r="L234" s="39">
        <v>238.66</v>
      </c>
      <c r="M234" s="21"/>
    </row>
    <row r="235" spans="1:13" x14ac:dyDescent="0.2">
      <c r="A235" s="20" t="s">
        <v>35</v>
      </c>
      <c r="B235" s="10">
        <v>304.995</v>
      </c>
      <c r="D235" s="8">
        <v>330.75</v>
      </c>
      <c r="E235" s="21"/>
      <c r="H235" s="22">
        <v>304.995</v>
      </c>
      <c r="J235" s="10">
        <v>312.83</v>
      </c>
      <c r="L235" s="39">
        <v>632</v>
      </c>
      <c r="M235" s="21"/>
    </row>
    <row r="236" spans="1:13" x14ac:dyDescent="0.2">
      <c r="A236" s="20" t="s">
        <v>36</v>
      </c>
      <c r="B236" s="10">
        <v>140.125</v>
      </c>
      <c r="D236" s="8">
        <v>149.99199999999999</v>
      </c>
      <c r="E236" s="21"/>
      <c r="H236" s="22">
        <v>140.125</v>
      </c>
      <c r="J236" s="10">
        <v>112.873</v>
      </c>
      <c r="L236" s="39">
        <v>240.47200000000001</v>
      </c>
      <c r="M236" s="21"/>
    </row>
    <row r="237" spans="1:13" x14ac:dyDescent="0.2">
      <c r="A237" s="20" t="s">
        <v>37</v>
      </c>
      <c r="B237" s="10">
        <v>23.672999999999998</v>
      </c>
      <c r="D237" s="8">
        <v>24.295999999999999</v>
      </c>
      <c r="E237" s="21"/>
      <c r="H237" s="22">
        <v>23.672999999999998</v>
      </c>
      <c r="J237" s="10">
        <v>40.094000000000001</v>
      </c>
      <c r="L237" s="39">
        <v>38.622</v>
      </c>
      <c r="M237" s="21"/>
    </row>
    <row r="238" spans="1:13" x14ac:dyDescent="0.2">
      <c r="A238" s="20" t="s">
        <v>26</v>
      </c>
      <c r="B238" s="10">
        <v>8.2070000000000007</v>
      </c>
      <c r="D238" s="8">
        <v>8.3870000000000005</v>
      </c>
      <c r="E238" s="21"/>
      <c r="H238" s="22">
        <v>8.2070000000000007</v>
      </c>
      <c r="J238" s="10">
        <v>4.056</v>
      </c>
      <c r="L238" s="39">
        <v>3.9729999999999999</v>
      </c>
      <c r="M238" s="21"/>
    </row>
    <row r="239" spans="1:13" x14ac:dyDescent="0.2">
      <c r="A239" s="20" t="s">
        <v>27</v>
      </c>
      <c r="B239" s="10">
        <v>10.672000000000001</v>
      </c>
      <c r="D239" s="8">
        <v>10.93</v>
      </c>
      <c r="E239" s="21"/>
      <c r="H239" s="22">
        <v>10.672000000000001</v>
      </c>
      <c r="J239" s="10">
        <v>4.9349999999999996</v>
      </c>
      <c r="L239" s="39">
        <v>6.8230000000000004</v>
      </c>
      <c r="M239" s="21"/>
    </row>
    <row r="240" spans="1:13" x14ac:dyDescent="0.2">
      <c r="A240" s="20" t="s">
        <v>28</v>
      </c>
      <c r="B240" s="10">
        <v>34.054000000000002</v>
      </c>
      <c r="D240" s="8">
        <v>35.439</v>
      </c>
      <c r="E240" s="21"/>
      <c r="H240" s="22">
        <v>34.054000000000002</v>
      </c>
      <c r="J240" s="10">
        <v>6.407</v>
      </c>
      <c r="L240" s="39">
        <v>15.420999999999999</v>
      </c>
      <c r="M240" s="21"/>
    </row>
    <row r="241" spans="1:13" x14ac:dyDescent="0.2">
      <c r="A241" s="20" t="s">
        <v>29</v>
      </c>
      <c r="B241" s="10">
        <v>188.66300000000001</v>
      </c>
      <c r="D241" s="8">
        <v>200.83500000000001</v>
      </c>
      <c r="E241" s="21"/>
      <c r="H241" s="22">
        <v>188.66300000000001</v>
      </c>
      <c r="J241" s="10">
        <v>82.55</v>
      </c>
      <c r="L241" s="39">
        <v>101.895</v>
      </c>
      <c r="M241" s="21"/>
    </row>
    <row r="242" spans="1:13" x14ac:dyDescent="0.2">
      <c r="A242" s="20" t="s">
        <v>30</v>
      </c>
      <c r="B242" s="10">
        <v>381.25200000000001</v>
      </c>
      <c r="D242" s="8">
        <v>408.02199999999999</v>
      </c>
      <c r="E242" s="21"/>
      <c r="H242" s="22">
        <v>381.25200000000001</v>
      </c>
      <c r="J242" s="10">
        <v>467.452</v>
      </c>
      <c r="L242" s="39">
        <v>289.26799999999997</v>
      </c>
      <c r="M242" s="21"/>
    </row>
    <row r="243" spans="1:13" x14ac:dyDescent="0.2">
      <c r="A243" s="20" t="s">
        <v>31</v>
      </c>
      <c r="B243" s="10">
        <v>866.11400000000003</v>
      </c>
      <c r="D243" s="8">
        <v>930.37800000000004</v>
      </c>
      <c r="E243" s="21"/>
      <c r="H243" s="22">
        <v>866.11400000000003</v>
      </c>
      <c r="J243" s="10">
        <v>852.76599999999996</v>
      </c>
      <c r="L243" s="39">
        <v>1385.6410000000001</v>
      </c>
      <c r="M243" s="21"/>
    </row>
    <row r="244" spans="1:13" x14ac:dyDescent="0.2">
      <c r="A244" s="20" t="s">
        <v>32</v>
      </c>
      <c r="B244" s="10">
        <v>536.25199999999995</v>
      </c>
      <c r="D244" s="8">
        <v>574.57600000000002</v>
      </c>
      <c r="E244" s="21"/>
      <c r="H244" s="22">
        <v>536.25199999999995</v>
      </c>
      <c r="J244" s="10">
        <v>999.39099999999996</v>
      </c>
      <c r="L244" s="39">
        <v>960.95</v>
      </c>
      <c r="M244" s="21"/>
    </row>
    <row r="245" spans="1:13" x14ac:dyDescent="0.2">
      <c r="A245" s="20" t="s">
        <v>33</v>
      </c>
      <c r="B245" s="10">
        <v>457.673</v>
      </c>
      <c r="D245" s="8">
        <v>491.71699999999998</v>
      </c>
      <c r="E245" s="21"/>
      <c r="H245" s="22">
        <v>457.673</v>
      </c>
      <c r="J245" s="10">
        <v>721.48699999999997</v>
      </c>
      <c r="L245" s="39">
        <v>575.29399999999998</v>
      </c>
      <c r="M245" s="21"/>
    </row>
    <row r="246" spans="1:13" x14ac:dyDescent="0.2">
      <c r="A246" s="20" t="s">
        <v>34</v>
      </c>
      <c r="B246" s="10">
        <v>558.51499999999999</v>
      </c>
      <c r="D246" s="8">
        <v>605.03499999999997</v>
      </c>
      <c r="E246" s="21"/>
      <c r="H246" s="22">
        <v>558.51499999999999</v>
      </c>
      <c r="J246" s="10">
        <v>327.49799999999999</v>
      </c>
      <c r="L246" s="39">
        <v>262.012</v>
      </c>
      <c r="M246" s="21"/>
    </row>
    <row r="247" spans="1:13" x14ac:dyDescent="0.2">
      <c r="A247" s="20" t="s">
        <v>35</v>
      </c>
      <c r="B247" s="10">
        <v>433.60399999999998</v>
      </c>
      <c r="D247" s="8">
        <v>466.90199999999999</v>
      </c>
      <c r="E247" s="21"/>
      <c r="H247" s="22">
        <v>433.60399999999998</v>
      </c>
      <c r="J247" s="10">
        <v>293.96499999999997</v>
      </c>
      <c r="L247" s="39">
        <v>238.86199999999999</v>
      </c>
      <c r="M247" s="21"/>
    </row>
    <row r="248" spans="1:13" x14ac:dyDescent="0.2">
      <c r="A248" s="20" t="s">
        <v>36</v>
      </c>
      <c r="B248" s="10">
        <v>20.096</v>
      </c>
      <c r="D248" s="8">
        <v>20.768000000000001</v>
      </c>
      <c r="E248" s="21"/>
      <c r="H248" s="22">
        <v>20.096</v>
      </c>
      <c r="J248" s="10">
        <v>24.922999999999998</v>
      </c>
      <c r="L248" s="39">
        <v>9.8239999999999998</v>
      </c>
      <c r="M248" s="21"/>
    </row>
    <row r="249" spans="1:13" x14ac:dyDescent="0.2">
      <c r="A249" s="20" t="s">
        <v>37</v>
      </c>
      <c r="B249" s="10">
        <v>6.7409999999999997</v>
      </c>
      <c r="D249" s="8">
        <v>6.8719999999999999</v>
      </c>
      <c r="E249" s="21"/>
      <c r="H249" s="22">
        <v>6.7409999999999997</v>
      </c>
      <c r="J249" s="10">
        <v>3.7879999999999998</v>
      </c>
      <c r="L249" s="39">
        <v>3.8860000000000001</v>
      </c>
      <c r="M249" s="21"/>
    </row>
    <row r="250" spans="1:13" x14ac:dyDescent="0.2">
      <c r="A250" s="20" t="s">
        <v>26</v>
      </c>
      <c r="B250" s="10">
        <v>26.378</v>
      </c>
      <c r="D250" s="8">
        <v>27.385999999999999</v>
      </c>
      <c r="E250" s="21"/>
      <c r="H250" s="22">
        <v>26.378</v>
      </c>
      <c r="J250" s="10">
        <v>8.36</v>
      </c>
      <c r="L250" s="39">
        <v>8.2170000000000005</v>
      </c>
      <c r="M250" s="21"/>
    </row>
    <row r="251" spans="1:13" x14ac:dyDescent="0.2">
      <c r="A251" s="20" t="s">
        <v>27</v>
      </c>
      <c r="B251" s="10">
        <v>23.132000000000001</v>
      </c>
      <c r="D251" s="8">
        <v>23.806000000000001</v>
      </c>
      <c r="E251" s="21"/>
      <c r="H251" s="22">
        <v>23.132000000000001</v>
      </c>
      <c r="J251" s="10">
        <v>14.875999999999999</v>
      </c>
      <c r="L251" s="39">
        <v>22.893000000000001</v>
      </c>
      <c r="M251" s="21"/>
    </row>
    <row r="252" spans="1:13" x14ac:dyDescent="0.2">
      <c r="A252" s="20" t="s">
        <v>28</v>
      </c>
      <c r="B252" s="10">
        <v>139.70099999999999</v>
      </c>
      <c r="D252" s="8">
        <v>147.87</v>
      </c>
      <c r="E252" s="21"/>
      <c r="H252" s="22">
        <v>139.70099999999999</v>
      </c>
      <c r="J252" s="10">
        <v>32.372</v>
      </c>
      <c r="L252" s="39">
        <v>96.882999999999996</v>
      </c>
      <c r="M252" s="21"/>
    </row>
    <row r="253" spans="1:13" x14ac:dyDescent="0.2">
      <c r="A253" s="20" t="s">
        <v>29</v>
      </c>
      <c r="B253" s="10">
        <v>332.899</v>
      </c>
      <c r="D253" s="8">
        <v>357.42899999999997</v>
      </c>
      <c r="E253" s="21"/>
      <c r="H253" s="22">
        <v>332.899</v>
      </c>
      <c r="J253" s="10">
        <v>163.916</v>
      </c>
      <c r="L253" s="39">
        <v>374.65300000000002</v>
      </c>
      <c r="M253" s="21"/>
    </row>
    <row r="254" spans="1:13" x14ac:dyDescent="0.2">
      <c r="A254" s="20" t="s">
        <v>30</v>
      </c>
      <c r="B254" s="10">
        <v>553.34299999999996</v>
      </c>
      <c r="D254" s="8">
        <v>594.97299999999996</v>
      </c>
      <c r="E254" s="21"/>
      <c r="H254" s="22">
        <v>553.34299999999996</v>
      </c>
      <c r="J254" s="10">
        <v>657.08600000000001</v>
      </c>
      <c r="L254" s="39">
        <v>557.82299999999998</v>
      </c>
      <c r="M254" s="21"/>
    </row>
    <row r="255" spans="1:13" x14ac:dyDescent="0.2">
      <c r="A255" s="20" t="s">
        <v>31</v>
      </c>
      <c r="B255" s="10">
        <v>420.44400000000002</v>
      </c>
      <c r="D255" s="8">
        <v>451.72399999999999</v>
      </c>
      <c r="E255" s="21"/>
      <c r="H255" s="22">
        <v>420.44400000000002</v>
      </c>
      <c r="J255" s="10">
        <v>531.53200000000004</v>
      </c>
      <c r="L255" s="39">
        <v>550.83500000000004</v>
      </c>
      <c r="M255" s="21"/>
    </row>
    <row r="256" spans="1:13" x14ac:dyDescent="0.2">
      <c r="A256" s="20" t="s">
        <v>32</v>
      </c>
      <c r="B256" s="10">
        <v>163.904</v>
      </c>
      <c r="D256" s="8">
        <v>173.511</v>
      </c>
      <c r="E256" s="21"/>
      <c r="H256" s="22">
        <v>163.904</v>
      </c>
      <c r="J256" s="10">
        <v>229.36199999999999</v>
      </c>
      <c r="L256" s="39">
        <v>234.21600000000001</v>
      </c>
      <c r="M256" s="21"/>
    </row>
    <row r="257" spans="1:13" x14ac:dyDescent="0.2">
      <c r="A257" s="20" t="s">
        <v>33</v>
      </c>
      <c r="B257" s="10">
        <v>266.35599999999999</v>
      </c>
      <c r="D257" s="8">
        <v>288.69</v>
      </c>
      <c r="E257" s="21"/>
      <c r="H257" s="22">
        <v>266.35599999999999</v>
      </c>
      <c r="J257" s="10">
        <v>366.48</v>
      </c>
      <c r="L257" s="39">
        <v>395.15899999999999</v>
      </c>
      <c r="M257" s="21"/>
    </row>
    <row r="258" spans="1:13" x14ac:dyDescent="0.2">
      <c r="A258" s="20" t="s">
        <v>34</v>
      </c>
      <c r="B258" s="10">
        <v>591.30600000000004</v>
      </c>
      <c r="D258" s="8">
        <v>646.87400000000002</v>
      </c>
      <c r="E258" s="21"/>
      <c r="H258" s="22">
        <v>591.30600000000004</v>
      </c>
      <c r="J258" s="10">
        <v>185.47300000000001</v>
      </c>
      <c r="L258" s="39">
        <v>163.06800000000001</v>
      </c>
      <c r="M258" s="21"/>
    </row>
    <row r="259" spans="1:13" x14ac:dyDescent="0.2">
      <c r="A259" s="20" t="s">
        <v>35</v>
      </c>
      <c r="B259" s="10">
        <v>245.69300000000001</v>
      </c>
      <c r="D259" s="8">
        <v>264.25799999999998</v>
      </c>
      <c r="E259" s="21"/>
      <c r="H259" s="22">
        <v>245.69300000000001</v>
      </c>
      <c r="J259" s="10">
        <v>263.46100000000001</v>
      </c>
      <c r="L259" s="39">
        <v>422.30099999999999</v>
      </c>
      <c r="M259" s="21"/>
    </row>
    <row r="260" spans="1:13" x14ac:dyDescent="0.2">
      <c r="A260" s="20" t="s">
        <v>36</v>
      </c>
      <c r="B260" s="10">
        <v>152.393</v>
      </c>
      <c r="D260" s="8">
        <v>162.358</v>
      </c>
      <c r="E260" s="21"/>
      <c r="H260" s="22">
        <v>152.393</v>
      </c>
      <c r="J260" s="10">
        <v>184.23500000000001</v>
      </c>
      <c r="L260" s="39">
        <v>65.236000000000004</v>
      </c>
      <c r="M260" s="21"/>
    </row>
    <row r="261" spans="1:13" x14ac:dyDescent="0.2">
      <c r="A261" s="20" t="s">
        <v>37</v>
      </c>
      <c r="B261" s="10">
        <v>32.191000000000003</v>
      </c>
      <c r="D261" s="8">
        <v>33.308999999999997</v>
      </c>
      <c r="E261" s="21"/>
      <c r="H261" s="22">
        <v>32.191000000000003</v>
      </c>
      <c r="J261" s="10">
        <v>21.222999999999999</v>
      </c>
      <c r="L261" s="39">
        <v>15.849</v>
      </c>
      <c r="M261" s="21"/>
    </row>
    <row r="262" spans="1:13" x14ac:dyDescent="0.2">
      <c r="A262" s="20" t="s">
        <v>26</v>
      </c>
      <c r="B262" s="10">
        <v>30.802</v>
      </c>
      <c r="D262" s="8">
        <v>31.797000000000001</v>
      </c>
      <c r="E262" s="21"/>
      <c r="H262" s="22">
        <v>30.802</v>
      </c>
      <c r="J262" s="10">
        <v>11.725</v>
      </c>
      <c r="L262" s="39">
        <v>16.196000000000002</v>
      </c>
      <c r="M262" s="21"/>
    </row>
    <row r="263" spans="1:13" x14ac:dyDescent="0.2">
      <c r="A263" s="20" t="s">
        <v>27</v>
      </c>
      <c r="B263" s="10">
        <v>14.215999999999999</v>
      </c>
      <c r="D263" s="8">
        <v>14.506</v>
      </c>
      <c r="E263" s="21"/>
      <c r="H263" s="22">
        <v>14.215999999999999</v>
      </c>
      <c r="J263" s="10">
        <v>10.039999999999999</v>
      </c>
      <c r="L263" s="39">
        <v>11.811999999999999</v>
      </c>
      <c r="M263" s="21"/>
    </row>
    <row r="264" spans="1:13" x14ac:dyDescent="0.2">
      <c r="A264" s="20" t="s">
        <v>28</v>
      </c>
      <c r="B264" s="10">
        <v>94.929000000000002</v>
      </c>
      <c r="D264" s="8">
        <v>100.265</v>
      </c>
      <c r="E264" s="21"/>
      <c r="H264" s="22">
        <v>94.929000000000002</v>
      </c>
      <c r="J264" s="10">
        <v>13.497</v>
      </c>
      <c r="L264" s="39">
        <v>35.137999999999998</v>
      </c>
      <c r="M264" s="21"/>
    </row>
    <row r="265" spans="1:13" x14ac:dyDescent="0.2">
      <c r="A265" s="20" t="s">
        <v>29</v>
      </c>
      <c r="B265" s="10">
        <v>216.87299999999999</v>
      </c>
      <c r="D265" s="8">
        <v>230.43799999999999</v>
      </c>
      <c r="E265" s="21"/>
      <c r="H265" s="22">
        <v>216.87299999999999</v>
      </c>
      <c r="J265" s="10">
        <v>115.383</v>
      </c>
      <c r="L265" s="39">
        <v>189.31700000000001</v>
      </c>
      <c r="M265" s="21"/>
    </row>
    <row r="266" spans="1:13" x14ac:dyDescent="0.2">
      <c r="A266" s="20" t="s">
        <v>30</v>
      </c>
      <c r="B266" s="10">
        <v>283.16300000000001</v>
      </c>
      <c r="D266" s="8">
        <v>302.16800000000001</v>
      </c>
      <c r="E266" s="21"/>
      <c r="H266" s="22">
        <v>283.16300000000001</v>
      </c>
      <c r="J266" s="10">
        <v>289.15100000000001</v>
      </c>
      <c r="L266" s="39">
        <v>301.01900000000001</v>
      </c>
      <c r="M266" s="21"/>
    </row>
    <row r="267" spans="1:13" x14ac:dyDescent="0.2">
      <c r="A267" s="20" t="s">
        <v>31</v>
      </c>
      <c r="B267" s="10">
        <v>291.822</v>
      </c>
      <c r="D267" s="8">
        <v>310.39499999999998</v>
      </c>
      <c r="E267" s="21"/>
      <c r="H267" s="22">
        <v>291.822</v>
      </c>
      <c r="J267" s="10">
        <v>309.512</v>
      </c>
      <c r="L267" s="39">
        <v>487.13600000000002</v>
      </c>
      <c r="M267" s="21"/>
    </row>
    <row r="268" spans="1:13" x14ac:dyDescent="0.2">
      <c r="A268" s="20" t="s">
        <v>32</v>
      </c>
      <c r="B268" s="10">
        <v>87.620999999999995</v>
      </c>
      <c r="D268" s="8">
        <v>92.064999999999998</v>
      </c>
      <c r="E268" s="21"/>
      <c r="H268" s="22">
        <v>87.620999999999995</v>
      </c>
      <c r="J268" s="10">
        <v>77.674000000000007</v>
      </c>
      <c r="L268" s="39">
        <v>116.196</v>
      </c>
      <c r="M268" s="21"/>
    </row>
    <row r="269" spans="1:13" x14ac:dyDescent="0.2">
      <c r="A269" s="20" t="s">
        <v>33</v>
      </c>
      <c r="B269" s="10">
        <v>111.86799999999999</v>
      </c>
      <c r="D269" s="8">
        <v>118.804</v>
      </c>
      <c r="E269" s="21"/>
      <c r="H269" s="22">
        <v>111.86799999999999</v>
      </c>
      <c r="J269" s="10">
        <v>99.557000000000002</v>
      </c>
      <c r="L269" s="39">
        <v>118.884</v>
      </c>
      <c r="M269" s="21"/>
    </row>
    <row r="270" spans="1:13" x14ac:dyDescent="0.2">
      <c r="A270" s="20" t="s">
        <v>34</v>
      </c>
      <c r="B270" s="10">
        <v>129.971</v>
      </c>
      <c r="D270" s="8">
        <v>138.32900000000001</v>
      </c>
      <c r="E270" s="21"/>
      <c r="H270" s="22">
        <v>129.971</v>
      </c>
      <c r="J270" s="10">
        <v>61.279000000000003</v>
      </c>
      <c r="L270" s="39">
        <v>95.378</v>
      </c>
      <c r="M270" s="21"/>
    </row>
    <row r="271" spans="1:13" x14ac:dyDescent="0.2">
      <c r="A271" s="20" t="s">
        <v>35</v>
      </c>
      <c r="B271" s="10">
        <v>181.185</v>
      </c>
      <c r="D271" s="8">
        <v>194.81899999999999</v>
      </c>
      <c r="E271" s="21"/>
      <c r="H271" s="22">
        <v>181.185</v>
      </c>
      <c r="J271" s="10">
        <v>98.162000000000006</v>
      </c>
      <c r="L271" s="39">
        <v>270.64699999999999</v>
      </c>
      <c r="M271" s="21"/>
    </row>
    <row r="272" spans="1:13" x14ac:dyDescent="0.2">
      <c r="A272" s="20" t="s">
        <v>36</v>
      </c>
      <c r="B272" s="10">
        <v>36.783000000000001</v>
      </c>
      <c r="D272" s="8">
        <v>38.185000000000002</v>
      </c>
      <c r="E272" s="21"/>
      <c r="H272" s="22">
        <v>36.783000000000001</v>
      </c>
      <c r="J272" s="10">
        <v>39.767000000000003</v>
      </c>
      <c r="L272" s="39">
        <v>32.064999999999998</v>
      </c>
      <c r="M272" s="21"/>
    </row>
    <row r="273" spans="1:13" x14ac:dyDescent="0.2">
      <c r="A273" s="20" t="s">
        <v>37</v>
      </c>
      <c r="B273" s="10">
        <v>31.562999999999999</v>
      </c>
      <c r="D273" s="8">
        <v>32.564999999999998</v>
      </c>
      <c r="E273" s="21"/>
      <c r="H273" s="22">
        <v>31.562999999999999</v>
      </c>
      <c r="J273" s="10">
        <v>13.922000000000001</v>
      </c>
      <c r="L273" s="39">
        <v>16.321999999999999</v>
      </c>
      <c r="M273" s="21"/>
    </row>
    <row r="274" spans="1:13" x14ac:dyDescent="0.2">
      <c r="A274" s="20" t="s">
        <v>26</v>
      </c>
      <c r="B274" s="10">
        <v>19.248000000000001</v>
      </c>
      <c r="D274" s="8">
        <v>19.692</v>
      </c>
      <c r="E274" s="21"/>
      <c r="H274" s="22">
        <v>19.248000000000001</v>
      </c>
      <c r="J274" s="10">
        <v>10.007999999999999</v>
      </c>
      <c r="L274" s="39">
        <v>10.029</v>
      </c>
      <c r="M274" s="21"/>
    </row>
    <row r="275" spans="1:13" x14ac:dyDescent="0.2">
      <c r="A275" s="20" t="s">
        <v>27</v>
      </c>
      <c r="B275" s="10">
        <v>12.532</v>
      </c>
      <c r="D275" s="8">
        <v>12.759</v>
      </c>
      <c r="E275" s="21"/>
      <c r="H275" s="22">
        <v>12.532</v>
      </c>
      <c r="J275" s="10">
        <v>8.3260000000000005</v>
      </c>
      <c r="L275" s="39">
        <v>9.0220000000000002</v>
      </c>
      <c r="M275" s="21"/>
    </row>
    <row r="276" spans="1:13" x14ac:dyDescent="0.2">
      <c r="A276" s="20" t="s">
        <v>28</v>
      </c>
      <c r="B276" s="10">
        <v>72.043000000000006</v>
      </c>
      <c r="D276" s="8">
        <v>75.802000000000007</v>
      </c>
      <c r="E276" s="21"/>
      <c r="H276" s="22">
        <v>72.043000000000006</v>
      </c>
      <c r="J276" s="10">
        <v>10.202999999999999</v>
      </c>
      <c r="L276" s="39">
        <v>20.981000000000002</v>
      </c>
      <c r="M276" s="21"/>
    </row>
    <row r="277" spans="1:13" x14ac:dyDescent="0.2">
      <c r="A277" s="20" t="s">
        <v>29</v>
      </c>
      <c r="B277" s="10">
        <v>110.96899999999999</v>
      </c>
      <c r="D277" s="8">
        <v>116.93300000000001</v>
      </c>
      <c r="E277" s="21"/>
      <c r="H277" s="22">
        <v>110.96899999999999</v>
      </c>
      <c r="J277" s="10">
        <v>42.570999999999998</v>
      </c>
      <c r="L277" s="39">
        <v>78.951999999999998</v>
      </c>
      <c r="M277" s="21"/>
    </row>
    <row r="278" spans="1:13" x14ac:dyDescent="0.2">
      <c r="A278" s="20" t="s">
        <v>30</v>
      </c>
      <c r="B278" s="10">
        <v>367.61099999999999</v>
      </c>
      <c r="D278" s="8">
        <v>395.483</v>
      </c>
      <c r="E278" s="21"/>
      <c r="H278" s="22">
        <v>367.61099999999999</v>
      </c>
      <c r="J278" s="10">
        <v>393.91500000000002</v>
      </c>
      <c r="L278" s="39">
        <v>348.60599999999999</v>
      </c>
      <c r="M278" s="21"/>
    </row>
    <row r="279" spans="1:13" x14ac:dyDescent="0.2">
      <c r="A279" s="20" t="s">
        <v>31</v>
      </c>
      <c r="B279" s="10">
        <v>444.49</v>
      </c>
      <c r="D279" s="8">
        <v>476.154</v>
      </c>
      <c r="E279" s="21"/>
      <c r="H279" s="22">
        <v>444.49</v>
      </c>
      <c r="J279" s="10">
        <v>431.30500000000001</v>
      </c>
      <c r="L279" s="39">
        <v>616.54999999999995</v>
      </c>
      <c r="M279" s="21"/>
    </row>
    <row r="280" spans="1:13" x14ac:dyDescent="0.2">
      <c r="A280" s="20" t="s">
        <v>32</v>
      </c>
      <c r="B280" s="10">
        <v>268.06</v>
      </c>
      <c r="D280" s="8">
        <v>286.49400000000003</v>
      </c>
      <c r="E280" s="21"/>
      <c r="H280" s="22">
        <v>268.06</v>
      </c>
      <c r="J280" s="10">
        <v>306.25400000000002</v>
      </c>
      <c r="L280" s="39">
        <v>471.54399999999998</v>
      </c>
      <c r="M280" s="21"/>
    </row>
    <row r="281" spans="1:13" x14ac:dyDescent="0.2">
      <c r="A281" s="20" t="s">
        <v>33</v>
      </c>
      <c r="B281" s="10">
        <v>160.80000000000001</v>
      </c>
      <c r="D281" s="8">
        <v>170.398</v>
      </c>
      <c r="E281" s="21"/>
      <c r="H281" s="22">
        <v>160.80000000000001</v>
      </c>
      <c r="J281" s="10">
        <v>290.11</v>
      </c>
      <c r="L281" s="39">
        <v>250.72300000000001</v>
      </c>
      <c r="M281" s="21"/>
    </row>
    <row r="282" spans="1:13" x14ac:dyDescent="0.2">
      <c r="A282" s="20" t="s">
        <v>34</v>
      </c>
      <c r="B282" s="10">
        <v>218.29</v>
      </c>
      <c r="D282" s="8">
        <v>232.47200000000001</v>
      </c>
      <c r="E282" s="21"/>
      <c r="H282" s="22">
        <v>218.29</v>
      </c>
      <c r="J282" s="10">
        <v>136.30600000000001</v>
      </c>
      <c r="L282" s="39">
        <v>158.03399999999999</v>
      </c>
      <c r="M282" s="21"/>
    </row>
    <row r="283" spans="1:13" x14ac:dyDescent="0.2">
      <c r="A283" s="20" t="s">
        <v>35</v>
      </c>
      <c r="B283" s="10">
        <v>480.9</v>
      </c>
      <c r="D283" s="8">
        <v>520.66300000000001</v>
      </c>
      <c r="E283" s="21"/>
      <c r="H283" s="22">
        <v>480.9</v>
      </c>
      <c r="J283" s="10">
        <v>370.91800000000001</v>
      </c>
      <c r="L283" s="39">
        <v>370.55399999999997</v>
      </c>
      <c r="M283" s="21"/>
    </row>
    <row r="284" spans="1:13" x14ac:dyDescent="0.2">
      <c r="A284" s="20" t="s">
        <v>36</v>
      </c>
      <c r="B284" s="10">
        <v>53.045000000000002</v>
      </c>
      <c r="D284" s="8">
        <v>55.415999999999997</v>
      </c>
      <c r="E284" s="21"/>
      <c r="H284" s="22">
        <v>53.045000000000002</v>
      </c>
      <c r="J284" s="10">
        <v>63.692</v>
      </c>
      <c r="L284" s="39">
        <v>33.207000000000001</v>
      </c>
      <c r="M284" s="21"/>
    </row>
    <row r="285" spans="1:13" x14ac:dyDescent="0.2">
      <c r="A285" s="20" t="s">
        <v>37</v>
      </c>
      <c r="B285" s="10">
        <v>25.266999999999999</v>
      </c>
      <c r="D285" s="8">
        <v>26.045000000000002</v>
      </c>
      <c r="E285" s="21"/>
      <c r="H285" s="22">
        <v>25.266999999999999</v>
      </c>
      <c r="J285" s="10">
        <v>8.4870000000000001</v>
      </c>
      <c r="L285" s="39">
        <v>8.5630000000000006</v>
      </c>
      <c r="M285" s="21"/>
    </row>
    <row r="286" spans="1:13" x14ac:dyDescent="0.2">
      <c r="A286" s="20" t="s">
        <v>26</v>
      </c>
      <c r="B286" s="10">
        <v>13.821999999999999</v>
      </c>
      <c r="D286" s="8">
        <v>14.124000000000001</v>
      </c>
      <c r="E286" s="21"/>
      <c r="H286" s="22">
        <v>13.821999999999999</v>
      </c>
      <c r="J286" s="10">
        <v>7.851</v>
      </c>
      <c r="L286" s="39">
        <v>7.1459999999999999</v>
      </c>
      <c r="M286" s="21"/>
    </row>
    <row r="287" spans="1:13" x14ac:dyDescent="0.2">
      <c r="A287" s="20" t="s">
        <v>27</v>
      </c>
      <c r="B287" s="10">
        <v>18.16</v>
      </c>
      <c r="D287" s="8">
        <v>18.623000000000001</v>
      </c>
      <c r="E287" s="21"/>
      <c r="H287" s="22">
        <v>18.16</v>
      </c>
      <c r="J287" s="10">
        <v>8.3309999999999995</v>
      </c>
      <c r="L287" s="39">
        <v>16.631</v>
      </c>
      <c r="M287" s="21"/>
    </row>
    <row r="288" spans="1:13" x14ac:dyDescent="0.2">
      <c r="A288" s="20" t="s">
        <v>28</v>
      </c>
      <c r="B288" s="10">
        <v>72.483999999999995</v>
      </c>
      <c r="D288" s="8">
        <v>76.158000000000001</v>
      </c>
      <c r="E288" s="21"/>
      <c r="H288" s="22">
        <v>72.483999999999995</v>
      </c>
      <c r="J288" s="10">
        <v>14.319000000000001</v>
      </c>
      <c r="L288" s="39">
        <v>50.484000000000002</v>
      </c>
      <c r="M288" s="21"/>
    </row>
    <row r="289" spans="1:13" x14ac:dyDescent="0.2">
      <c r="A289" s="20" t="s">
        <v>29</v>
      </c>
      <c r="B289" s="10">
        <v>279.39299999999997</v>
      </c>
      <c r="D289" s="8">
        <v>297.64999999999998</v>
      </c>
      <c r="E289" s="21"/>
      <c r="H289" s="22">
        <v>279.39299999999997</v>
      </c>
      <c r="J289" s="10">
        <v>175.94800000000001</v>
      </c>
      <c r="L289" s="39">
        <v>382.47899999999998</v>
      </c>
      <c r="M289" s="21"/>
    </row>
    <row r="290" spans="1:13" x14ac:dyDescent="0.2">
      <c r="A290" s="20" t="s">
        <v>30</v>
      </c>
      <c r="B290" s="10">
        <v>556.20500000000004</v>
      </c>
      <c r="D290" s="8">
        <v>598.101</v>
      </c>
      <c r="E290" s="21"/>
      <c r="H290" s="22">
        <v>556.20500000000004</v>
      </c>
      <c r="J290" s="10">
        <v>546.11099999999999</v>
      </c>
      <c r="L290" s="39">
        <v>544.73800000000006</v>
      </c>
      <c r="M290" s="21"/>
    </row>
    <row r="291" spans="1:13" x14ac:dyDescent="0.2">
      <c r="A291" s="20" t="s">
        <v>31</v>
      </c>
      <c r="B291" s="10">
        <v>344.52800000000002</v>
      </c>
      <c r="D291" s="8">
        <v>367.74299999999999</v>
      </c>
      <c r="E291" s="21"/>
      <c r="H291" s="22">
        <v>344.52800000000002</v>
      </c>
      <c r="J291" s="10">
        <v>381.26400000000001</v>
      </c>
      <c r="L291" s="39">
        <v>630.16300000000001</v>
      </c>
      <c r="M291" s="21"/>
    </row>
    <row r="292" spans="1:13" x14ac:dyDescent="0.2">
      <c r="A292" s="20" t="s">
        <v>32</v>
      </c>
      <c r="B292" s="10">
        <v>147.273</v>
      </c>
      <c r="D292" s="8">
        <v>155.83199999999999</v>
      </c>
      <c r="E292" s="21"/>
      <c r="H292" s="22">
        <v>147.273</v>
      </c>
      <c r="J292" s="10">
        <v>127.494</v>
      </c>
      <c r="L292" s="39">
        <v>190.33199999999999</v>
      </c>
      <c r="M292" s="21"/>
    </row>
    <row r="293" spans="1:13" x14ac:dyDescent="0.2">
      <c r="A293" s="20" t="s">
        <v>33</v>
      </c>
      <c r="B293" s="10">
        <v>176.072</v>
      </c>
      <c r="D293" s="8">
        <v>188.22200000000001</v>
      </c>
      <c r="E293" s="21"/>
      <c r="H293" s="22">
        <v>176.072</v>
      </c>
      <c r="J293" s="10">
        <v>118.675</v>
      </c>
      <c r="L293" s="39">
        <v>112.816</v>
      </c>
      <c r="M293" s="21"/>
    </row>
    <row r="294" spans="1:13" x14ac:dyDescent="0.2">
      <c r="A294" s="20" t="s">
        <v>34</v>
      </c>
      <c r="B294" s="10">
        <v>256.71899999999999</v>
      </c>
      <c r="D294" s="8">
        <v>277.51499999999999</v>
      </c>
      <c r="E294" s="21"/>
      <c r="H294" s="22">
        <v>256.71899999999999</v>
      </c>
      <c r="J294" s="10">
        <v>111.529</v>
      </c>
      <c r="L294" s="39">
        <v>103.379</v>
      </c>
      <c r="M294" s="21"/>
    </row>
    <row r="295" spans="1:13" x14ac:dyDescent="0.2">
      <c r="A295" s="20" t="s">
        <v>35</v>
      </c>
      <c r="B295" s="10">
        <v>232.47300000000001</v>
      </c>
      <c r="D295" s="8">
        <v>250.27799999999999</v>
      </c>
      <c r="E295" s="21"/>
      <c r="H295" s="22">
        <v>232.47300000000001</v>
      </c>
      <c r="J295" s="10">
        <v>112.63800000000001</v>
      </c>
      <c r="L295" s="39">
        <v>288.70299999999997</v>
      </c>
      <c r="M295" s="21"/>
    </row>
    <row r="296" spans="1:13" x14ac:dyDescent="0.2">
      <c r="A296" s="20" t="s">
        <v>36</v>
      </c>
      <c r="B296" s="10">
        <v>197.99100000000001</v>
      </c>
      <c r="D296" s="8">
        <v>211.977</v>
      </c>
      <c r="E296" s="21"/>
      <c r="H296" s="22">
        <v>197.99100000000001</v>
      </c>
      <c r="J296" s="10">
        <v>167.24299999999999</v>
      </c>
      <c r="L296" s="39">
        <v>66.975999999999999</v>
      </c>
      <c r="M296" s="21"/>
    </row>
    <row r="297" spans="1:13" x14ac:dyDescent="0.2">
      <c r="A297" s="20" t="s">
        <v>37</v>
      </c>
      <c r="B297" s="10">
        <v>28.841999999999999</v>
      </c>
      <c r="D297" s="8">
        <v>29.998000000000001</v>
      </c>
      <c r="E297" s="21"/>
      <c r="H297" s="22">
        <v>28.841999999999999</v>
      </c>
      <c r="J297" s="10">
        <v>15.553000000000001</v>
      </c>
      <c r="L297" s="39">
        <v>11.250999999999999</v>
      </c>
      <c r="M297" s="21"/>
    </row>
    <row r="298" spans="1:13" x14ac:dyDescent="0.2">
      <c r="A298" s="20" t="s">
        <v>26</v>
      </c>
      <c r="B298" s="10">
        <v>10.013</v>
      </c>
      <c r="D298" s="8">
        <v>10.191000000000001</v>
      </c>
      <c r="E298" s="21"/>
      <c r="H298" s="22">
        <v>10.013</v>
      </c>
      <c r="J298" s="10">
        <v>6.6319999999999997</v>
      </c>
      <c r="L298" s="39">
        <v>6.6289999999999996</v>
      </c>
      <c r="M298" s="21"/>
    </row>
    <row r="299" spans="1:13" x14ac:dyDescent="0.2">
      <c r="A299" s="20" t="s">
        <v>27</v>
      </c>
      <c r="B299" s="10">
        <v>12.534000000000001</v>
      </c>
      <c r="D299" s="8">
        <v>12.765000000000001</v>
      </c>
      <c r="E299" s="21"/>
      <c r="H299" s="22">
        <v>12.534000000000001</v>
      </c>
      <c r="J299" s="10">
        <v>11.819000000000001</v>
      </c>
      <c r="L299" s="39">
        <v>8.2050000000000001</v>
      </c>
      <c r="M299" s="21"/>
    </row>
    <row r="300" spans="1:13" x14ac:dyDescent="0.2">
      <c r="A300" s="20" t="s">
        <v>28</v>
      </c>
      <c r="B300" s="10">
        <v>16.966000000000001</v>
      </c>
      <c r="D300" s="8">
        <v>17.446999999999999</v>
      </c>
      <c r="E300" s="21"/>
      <c r="H300" s="22">
        <v>16.966000000000001</v>
      </c>
      <c r="J300" s="10">
        <v>10.381</v>
      </c>
      <c r="L300" s="39">
        <v>10.115</v>
      </c>
      <c r="M300" s="21"/>
    </row>
    <row r="301" spans="1:13" x14ac:dyDescent="0.2">
      <c r="A301" s="20" t="s">
        <v>29</v>
      </c>
      <c r="B301" s="10">
        <v>84.367000000000004</v>
      </c>
      <c r="D301" s="8">
        <v>88.707999999999998</v>
      </c>
      <c r="E301" s="21"/>
      <c r="H301" s="22">
        <v>84.367000000000004</v>
      </c>
      <c r="J301" s="10">
        <v>44.545999999999999</v>
      </c>
      <c r="L301" s="39">
        <v>57.427</v>
      </c>
      <c r="M301" s="21"/>
    </row>
    <row r="302" spans="1:13" x14ac:dyDescent="0.2">
      <c r="A302" s="20" t="s">
        <v>30</v>
      </c>
      <c r="B302" s="10">
        <v>282.77499999999998</v>
      </c>
      <c r="D302" s="8">
        <v>302.166</v>
      </c>
      <c r="E302" s="21"/>
      <c r="H302" s="22">
        <v>282.77499999999998</v>
      </c>
      <c r="J302" s="10">
        <v>315.13600000000002</v>
      </c>
      <c r="L302" s="39">
        <v>230.62200000000001</v>
      </c>
      <c r="M302" s="21"/>
    </row>
    <row r="303" spans="1:13" x14ac:dyDescent="0.2">
      <c r="A303" s="20" t="s">
        <v>31</v>
      </c>
      <c r="B303" s="10">
        <v>629.60699999999997</v>
      </c>
      <c r="D303" s="8">
        <v>673.43600000000004</v>
      </c>
      <c r="E303" s="21"/>
      <c r="H303" s="22">
        <v>629.60699999999997</v>
      </c>
      <c r="J303" s="10">
        <v>518.58500000000004</v>
      </c>
      <c r="L303" s="39">
        <v>978.91200000000003</v>
      </c>
      <c r="M303" s="21"/>
    </row>
    <row r="304" spans="1:13" x14ac:dyDescent="0.2">
      <c r="A304" s="20" t="s">
        <v>32</v>
      </c>
      <c r="B304" s="10">
        <v>386.75599999999997</v>
      </c>
      <c r="D304" s="8">
        <v>412.28399999999999</v>
      </c>
      <c r="E304" s="21"/>
      <c r="H304" s="22">
        <v>386.75599999999997</v>
      </c>
      <c r="J304" s="10">
        <v>400.28100000000001</v>
      </c>
      <c r="L304" s="39">
        <v>672.58299999999997</v>
      </c>
      <c r="M304" s="21"/>
    </row>
    <row r="305" spans="1:13" x14ac:dyDescent="0.2">
      <c r="A305" s="20" t="s">
        <v>33</v>
      </c>
      <c r="B305" s="10">
        <v>139.92599999999999</v>
      </c>
      <c r="D305" s="8">
        <v>148.178</v>
      </c>
      <c r="E305" s="21"/>
      <c r="H305" s="22">
        <v>139.92599999999999</v>
      </c>
      <c r="J305" s="10">
        <v>285.90600000000001</v>
      </c>
      <c r="L305" s="39">
        <v>183.84399999999999</v>
      </c>
      <c r="M305" s="21"/>
    </row>
    <row r="306" spans="1:13" x14ac:dyDescent="0.2">
      <c r="A306" s="20" t="s">
        <v>34</v>
      </c>
      <c r="B306" s="10">
        <v>1876.472</v>
      </c>
      <c r="D306" s="8">
        <v>2063.982</v>
      </c>
      <c r="E306" s="21"/>
      <c r="H306" s="22">
        <v>1876.472</v>
      </c>
      <c r="J306" s="10">
        <v>350.55500000000001</v>
      </c>
      <c r="L306" s="39">
        <v>703.15599999999995</v>
      </c>
      <c r="M306" s="21"/>
    </row>
    <row r="307" spans="1:13" x14ac:dyDescent="0.2">
      <c r="A307" s="20" t="s">
        <v>35</v>
      </c>
      <c r="B307" s="10">
        <v>162.143</v>
      </c>
      <c r="D307" s="8">
        <v>174.226</v>
      </c>
      <c r="E307" s="21"/>
      <c r="H307" s="22">
        <v>162.143</v>
      </c>
      <c r="J307" s="10">
        <v>175.05500000000001</v>
      </c>
      <c r="L307" s="39">
        <v>187.95099999999999</v>
      </c>
      <c r="M307" s="21"/>
    </row>
    <row r="308" spans="1:13" x14ac:dyDescent="0.2">
      <c r="A308" s="20" t="s">
        <v>36</v>
      </c>
      <c r="B308" s="10">
        <v>26.178000000000001</v>
      </c>
      <c r="D308" s="8">
        <v>27.3</v>
      </c>
      <c r="E308" s="21"/>
      <c r="H308" s="22">
        <v>26.178000000000001</v>
      </c>
      <c r="J308" s="10">
        <v>15.175000000000001</v>
      </c>
      <c r="L308" s="39">
        <v>6.1589999999999998</v>
      </c>
      <c r="M308" s="21"/>
    </row>
    <row r="309" spans="1:13" x14ac:dyDescent="0.2">
      <c r="A309" s="20" t="s">
        <v>37</v>
      </c>
      <c r="B309" s="10">
        <v>27.172000000000001</v>
      </c>
      <c r="D309" s="8">
        <v>28.183</v>
      </c>
      <c r="E309" s="21"/>
      <c r="H309" s="22">
        <v>27.172000000000001</v>
      </c>
      <c r="J309" s="10">
        <v>8.093</v>
      </c>
      <c r="L309" s="39">
        <v>7.8079999999999998</v>
      </c>
      <c r="M309" s="21"/>
    </row>
    <row r="310" spans="1:13" x14ac:dyDescent="0.2">
      <c r="A310" s="20" t="s">
        <v>26</v>
      </c>
      <c r="B310" s="10">
        <v>9.8889999999999993</v>
      </c>
      <c r="D310" s="8">
        <v>10.124000000000001</v>
      </c>
      <c r="E310" s="21"/>
      <c r="H310" s="22">
        <v>9.8889999999999993</v>
      </c>
      <c r="J310" s="10">
        <v>4.5970000000000004</v>
      </c>
      <c r="L310" s="39">
        <v>4.6079999999999997</v>
      </c>
      <c r="M310" s="21"/>
    </row>
    <row r="311" spans="1:13" x14ac:dyDescent="0.2">
      <c r="A311" s="20" t="s">
        <v>27</v>
      </c>
      <c r="B311" s="10">
        <v>21.387</v>
      </c>
      <c r="D311" s="8">
        <v>22.059000000000001</v>
      </c>
      <c r="E311" s="21"/>
      <c r="H311" s="22">
        <v>21.387</v>
      </c>
      <c r="J311" s="10">
        <v>7.5519999999999996</v>
      </c>
      <c r="L311" s="39">
        <v>15.824</v>
      </c>
      <c r="M311" s="21"/>
    </row>
    <row r="312" spans="1:13" x14ac:dyDescent="0.2">
      <c r="A312" s="20" t="s">
        <v>28</v>
      </c>
      <c r="B312" s="10">
        <v>107.83499999999999</v>
      </c>
      <c r="D312" s="8">
        <v>114.07899999999999</v>
      </c>
      <c r="E312" s="21"/>
      <c r="H312" s="22">
        <v>107.83499999999999</v>
      </c>
      <c r="J312" s="10">
        <v>15.135</v>
      </c>
      <c r="L312" s="39">
        <v>67</v>
      </c>
      <c r="M312" s="21"/>
    </row>
    <row r="313" spans="1:13" x14ac:dyDescent="0.2">
      <c r="A313" s="20" t="s">
        <v>29</v>
      </c>
      <c r="B313" s="10">
        <v>229.80699999999999</v>
      </c>
      <c r="D313" s="8">
        <v>245.36199999999999</v>
      </c>
      <c r="E313" s="21"/>
      <c r="H313" s="22">
        <v>229.80699999999999</v>
      </c>
      <c r="J313" s="10">
        <v>85.494</v>
      </c>
      <c r="L313" s="39">
        <v>173.584</v>
      </c>
      <c r="M313" s="21"/>
    </row>
    <row r="314" spans="1:13" x14ac:dyDescent="0.2">
      <c r="A314" s="20" t="s">
        <v>30</v>
      </c>
      <c r="B314" s="10">
        <v>517.80600000000004</v>
      </c>
      <c r="D314" s="8">
        <v>554.53499999999997</v>
      </c>
      <c r="E314" s="21"/>
      <c r="H314" s="22">
        <v>517.80600000000004</v>
      </c>
      <c r="J314" s="10">
        <v>764.35400000000004</v>
      </c>
      <c r="L314" s="39">
        <v>554.60599999999999</v>
      </c>
      <c r="M314" s="21"/>
    </row>
    <row r="315" spans="1:13" x14ac:dyDescent="0.2">
      <c r="A315" s="20" t="s">
        <v>31</v>
      </c>
      <c r="B315" s="10">
        <v>649.63900000000001</v>
      </c>
      <c r="D315" s="8">
        <v>699.87199999999996</v>
      </c>
      <c r="E315" s="21"/>
      <c r="H315" s="22">
        <v>649.63900000000001</v>
      </c>
      <c r="J315" s="10">
        <v>806.85199999999998</v>
      </c>
      <c r="L315" s="39">
        <v>879.54700000000003</v>
      </c>
      <c r="M315" s="21"/>
    </row>
    <row r="316" spans="1:13" x14ac:dyDescent="0.2">
      <c r="A316" s="20" t="s">
        <v>32</v>
      </c>
      <c r="B316" s="10">
        <v>417.548</v>
      </c>
      <c r="D316" s="8">
        <v>449.83800000000002</v>
      </c>
      <c r="E316" s="21"/>
      <c r="H316" s="22">
        <v>417.548</v>
      </c>
      <c r="J316" s="10">
        <v>355.50599999999997</v>
      </c>
      <c r="L316" s="39">
        <v>451.35199999999998</v>
      </c>
      <c r="M316" s="21"/>
    </row>
    <row r="317" spans="1:13" x14ac:dyDescent="0.2">
      <c r="A317" s="20" t="s">
        <v>33</v>
      </c>
      <c r="B317" s="10">
        <v>223.93199999999999</v>
      </c>
      <c r="D317" s="8">
        <v>239.12100000000001</v>
      </c>
      <c r="E317" s="21"/>
      <c r="H317" s="22">
        <v>223.93199999999999</v>
      </c>
      <c r="J317" s="10">
        <v>254.791</v>
      </c>
      <c r="L317" s="39">
        <v>396.97800000000001</v>
      </c>
      <c r="M317" s="21"/>
    </row>
    <row r="318" spans="1:13" x14ac:dyDescent="0.2">
      <c r="A318" s="20" t="s">
        <v>34</v>
      </c>
      <c r="B318" s="10">
        <v>497.084</v>
      </c>
      <c r="D318" s="8">
        <v>545.00400000000002</v>
      </c>
      <c r="E318" s="21"/>
      <c r="H318" s="22">
        <v>497.084</v>
      </c>
      <c r="J318" s="10">
        <v>831.39</v>
      </c>
      <c r="L318" s="39">
        <v>369.87900000000002</v>
      </c>
      <c r="M318" s="21"/>
    </row>
    <row r="319" spans="1:13" x14ac:dyDescent="0.2">
      <c r="A319" s="20" t="s">
        <v>35</v>
      </c>
      <c r="B319" s="10">
        <v>427.10300000000001</v>
      </c>
      <c r="D319" s="8">
        <v>461.71600000000001</v>
      </c>
      <c r="E319" s="21"/>
      <c r="H319" s="22">
        <v>427.10300000000001</v>
      </c>
      <c r="J319" s="10">
        <v>248.69800000000001</v>
      </c>
      <c r="L319" s="39">
        <v>806.95399999999995</v>
      </c>
      <c r="M319" s="21"/>
    </row>
    <row r="320" spans="1:13" x14ac:dyDescent="0.2">
      <c r="A320" s="20" t="s">
        <v>36</v>
      </c>
      <c r="B320" s="10">
        <v>74.438000000000002</v>
      </c>
      <c r="D320" s="8">
        <v>78.355999999999995</v>
      </c>
      <c r="E320" s="21"/>
      <c r="H320" s="22">
        <v>74.438000000000002</v>
      </c>
      <c r="J320" s="10">
        <v>107.10299999999999</v>
      </c>
      <c r="L320" s="39">
        <v>105.47499999999999</v>
      </c>
      <c r="M320" s="21"/>
    </row>
    <row r="321" spans="1:13" x14ac:dyDescent="0.2">
      <c r="A321" s="20" t="s">
        <v>37</v>
      </c>
      <c r="B321" s="10">
        <v>46.271999999999998</v>
      </c>
      <c r="D321" s="8">
        <v>48.517000000000003</v>
      </c>
      <c r="E321" s="21"/>
      <c r="H321" s="22">
        <v>46.271999999999998</v>
      </c>
      <c r="J321" s="10">
        <v>8.3000000000000007</v>
      </c>
      <c r="L321" s="39">
        <v>8.06</v>
      </c>
      <c r="M321" s="21"/>
    </row>
    <row r="322" spans="1:13" x14ac:dyDescent="0.2">
      <c r="A322" s="20" t="s">
        <v>26</v>
      </c>
      <c r="B322" s="10">
        <v>12.622999999999999</v>
      </c>
      <c r="D322" s="8">
        <v>12.872999999999999</v>
      </c>
      <c r="E322" s="21"/>
      <c r="H322" s="22">
        <v>12.622999999999999</v>
      </c>
      <c r="J322" s="10">
        <v>7.3070000000000004</v>
      </c>
      <c r="L322" s="39">
        <v>7.2370000000000001</v>
      </c>
      <c r="M322" s="21"/>
    </row>
    <row r="323" spans="1:13" x14ac:dyDescent="0.2">
      <c r="A323" s="20" t="s">
        <v>27</v>
      </c>
      <c r="B323" s="10">
        <v>23.245000000000001</v>
      </c>
      <c r="D323" s="8">
        <v>24.004999999999999</v>
      </c>
      <c r="E323" s="21"/>
      <c r="H323" s="22">
        <v>23.245000000000001</v>
      </c>
      <c r="J323" s="10">
        <v>9.0549999999999997</v>
      </c>
      <c r="L323" s="39">
        <v>12.877000000000001</v>
      </c>
      <c r="M323" s="21"/>
    </row>
    <row r="324" spans="1:13" x14ac:dyDescent="0.2">
      <c r="A324" s="20" t="s">
        <v>28</v>
      </c>
      <c r="B324" s="10">
        <v>85.697999999999993</v>
      </c>
      <c r="D324" s="8">
        <v>90.224000000000004</v>
      </c>
      <c r="E324" s="21"/>
      <c r="H324" s="22">
        <v>85.697999999999993</v>
      </c>
      <c r="J324" s="10">
        <v>15.734</v>
      </c>
      <c r="L324" s="39">
        <v>40.485999999999997</v>
      </c>
      <c r="M324" s="21"/>
    </row>
    <row r="325" spans="1:13" x14ac:dyDescent="0.2">
      <c r="A325" s="20" t="s">
        <v>29</v>
      </c>
      <c r="B325" s="10">
        <v>170.36500000000001</v>
      </c>
      <c r="D325" s="8">
        <v>181.54</v>
      </c>
      <c r="E325" s="21"/>
      <c r="H325" s="22">
        <v>170.36500000000001</v>
      </c>
      <c r="J325" s="10">
        <v>79.634</v>
      </c>
      <c r="L325" s="39">
        <v>210.761</v>
      </c>
      <c r="M325" s="21"/>
    </row>
    <row r="326" spans="1:13" x14ac:dyDescent="0.2">
      <c r="A326" s="20" t="s">
        <v>30</v>
      </c>
      <c r="B326" s="10">
        <v>274.37799999999999</v>
      </c>
      <c r="D326" s="8">
        <v>292.79599999999999</v>
      </c>
      <c r="E326" s="21"/>
      <c r="H326" s="22">
        <v>274.37799999999999</v>
      </c>
      <c r="J326" s="10">
        <v>384.16399999999999</v>
      </c>
      <c r="L326" s="39">
        <v>296.27999999999997</v>
      </c>
      <c r="M326" s="21"/>
    </row>
    <row r="327" spans="1:13" x14ac:dyDescent="0.2">
      <c r="A327" s="20" t="s">
        <v>31</v>
      </c>
      <c r="B327" s="10">
        <v>432.63900000000001</v>
      </c>
      <c r="D327" s="8">
        <v>462.39499999999998</v>
      </c>
      <c r="E327" s="21"/>
      <c r="H327" s="22">
        <v>432.63900000000001</v>
      </c>
      <c r="J327" s="10">
        <v>488.35</v>
      </c>
      <c r="L327" s="39">
        <v>751.48900000000003</v>
      </c>
      <c r="M327" s="21"/>
    </row>
    <row r="328" spans="1:13" x14ac:dyDescent="0.2">
      <c r="A328" s="20" t="s">
        <v>32</v>
      </c>
      <c r="B328" s="10">
        <v>208.142</v>
      </c>
      <c r="D328" s="8">
        <v>221.55500000000001</v>
      </c>
      <c r="E328" s="21"/>
      <c r="H328" s="22">
        <v>208.142</v>
      </c>
      <c r="J328" s="10">
        <v>305.81400000000002</v>
      </c>
      <c r="L328" s="39">
        <v>311.29399999999998</v>
      </c>
      <c r="M328" s="21"/>
    </row>
    <row r="329" spans="1:13" x14ac:dyDescent="0.2">
      <c r="A329" s="20" t="s">
        <v>33</v>
      </c>
      <c r="B329" s="10">
        <v>238.47</v>
      </c>
      <c r="D329" s="8">
        <v>256.983</v>
      </c>
      <c r="E329" s="21"/>
      <c r="H329" s="22">
        <v>238.47</v>
      </c>
      <c r="J329" s="10">
        <v>176.41399999999999</v>
      </c>
      <c r="L329" s="39">
        <v>378.98399999999998</v>
      </c>
      <c r="M329" s="21"/>
    </row>
    <row r="330" spans="1:13" x14ac:dyDescent="0.2">
      <c r="A330" s="20" t="s">
        <v>34</v>
      </c>
      <c r="B330" s="10">
        <v>511.84899999999999</v>
      </c>
      <c r="D330" s="8">
        <v>553.79999999999995</v>
      </c>
      <c r="E330" s="21"/>
      <c r="H330" s="22">
        <v>511.84899999999999</v>
      </c>
      <c r="J330" s="10">
        <v>145.24299999999999</v>
      </c>
      <c r="L330" s="39">
        <v>264.03899999999999</v>
      </c>
      <c r="M330" s="21"/>
    </row>
    <row r="331" spans="1:13" x14ac:dyDescent="0.2">
      <c r="A331" s="20" t="s">
        <v>35</v>
      </c>
      <c r="B331" s="10">
        <v>391.20699999999999</v>
      </c>
      <c r="D331" s="8">
        <v>428.50700000000001</v>
      </c>
      <c r="E331" s="21"/>
      <c r="H331" s="22">
        <v>391.20699999999999</v>
      </c>
      <c r="J331" s="10">
        <v>543.20000000000005</v>
      </c>
      <c r="L331" s="39">
        <v>365.91500000000002</v>
      </c>
      <c r="M331" s="21"/>
    </row>
    <row r="332" spans="1:13" x14ac:dyDescent="0.2">
      <c r="A332" s="20" t="s">
        <v>36</v>
      </c>
      <c r="B332" s="10">
        <v>76.811000000000007</v>
      </c>
      <c r="D332" s="8">
        <v>81.171000000000006</v>
      </c>
      <c r="E332" s="21"/>
      <c r="H332" s="22">
        <v>76.811000000000007</v>
      </c>
      <c r="J332" s="10">
        <v>32.54</v>
      </c>
      <c r="L332" s="39">
        <v>49.557000000000002</v>
      </c>
      <c r="M332" s="21"/>
    </row>
    <row r="333" spans="1:13" x14ac:dyDescent="0.2">
      <c r="A333" s="20" t="s">
        <v>37</v>
      </c>
      <c r="B333" s="10">
        <v>9.4269999999999996</v>
      </c>
      <c r="D333" s="8">
        <v>9.6180000000000003</v>
      </c>
      <c r="E333" s="21"/>
      <c r="H333" s="22">
        <v>9.4269999999999996</v>
      </c>
      <c r="J333" s="10">
        <v>7.1109999999999998</v>
      </c>
      <c r="L333" s="39">
        <v>5.8810000000000002</v>
      </c>
      <c r="M333" s="21"/>
    </row>
    <row r="334" spans="1:13" x14ac:dyDescent="0.2">
      <c r="A334" s="20" t="s">
        <v>26</v>
      </c>
      <c r="B334" s="10">
        <v>77.822999999999993</v>
      </c>
      <c r="D334" s="8">
        <v>81.912000000000006</v>
      </c>
      <c r="E334" s="21"/>
      <c r="H334" s="22">
        <v>77.822999999999993</v>
      </c>
      <c r="J334" s="10">
        <v>11.987</v>
      </c>
      <c r="L334" s="39">
        <v>14.243</v>
      </c>
      <c r="M334" s="21"/>
    </row>
    <row r="335" spans="1:13" x14ac:dyDescent="0.2">
      <c r="A335" s="20" t="s">
        <v>27</v>
      </c>
      <c r="B335" s="10">
        <v>35.094000000000001</v>
      </c>
      <c r="D335" s="8">
        <v>36.317</v>
      </c>
      <c r="E335" s="21"/>
      <c r="H335" s="22">
        <v>35.094000000000001</v>
      </c>
      <c r="J335" s="10">
        <v>18.177</v>
      </c>
      <c r="L335" s="39">
        <v>30.709</v>
      </c>
      <c r="M335" s="21"/>
    </row>
    <row r="336" spans="1:13" x14ac:dyDescent="0.2">
      <c r="A336" s="20" t="s">
        <v>28</v>
      </c>
      <c r="B336" s="10">
        <v>103.675</v>
      </c>
      <c r="D336" s="8">
        <v>110.565</v>
      </c>
      <c r="E336" s="21"/>
      <c r="H336" s="22">
        <v>103.675</v>
      </c>
      <c r="J336" s="10">
        <v>21.481999999999999</v>
      </c>
      <c r="L336" s="39">
        <v>67.489000000000004</v>
      </c>
      <c r="M336" s="21"/>
    </row>
    <row r="337" spans="1:13" x14ac:dyDescent="0.2">
      <c r="A337" s="20" t="s">
        <v>29</v>
      </c>
      <c r="B337" s="10">
        <v>219.95699999999999</v>
      </c>
      <c r="D337" s="8">
        <v>233.517</v>
      </c>
      <c r="E337" s="21"/>
      <c r="H337" s="22">
        <v>219.95699999999999</v>
      </c>
      <c r="J337" s="10">
        <v>170.14699999999999</v>
      </c>
      <c r="L337" s="39">
        <v>303.399</v>
      </c>
      <c r="M337" s="21"/>
    </row>
    <row r="338" spans="1:13" x14ac:dyDescent="0.2">
      <c r="A338" s="20" t="s">
        <v>30</v>
      </c>
      <c r="B338" s="10">
        <v>343.786</v>
      </c>
      <c r="D338" s="8">
        <v>367.76499999999999</v>
      </c>
      <c r="E338" s="21"/>
      <c r="H338" s="22">
        <v>343.786</v>
      </c>
      <c r="J338" s="10">
        <v>477.10399999999998</v>
      </c>
      <c r="L338" s="39">
        <v>378.95100000000002</v>
      </c>
      <c r="M338" s="21"/>
    </row>
    <row r="339" spans="1:13" x14ac:dyDescent="0.2">
      <c r="A339" s="20" t="s">
        <v>31</v>
      </c>
      <c r="B339" s="10">
        <v>215.03800000000001</v>
      </c>
      <c r="D339" s="8">
        <v>228.33500000000001</v>
      </c>
      <c r="E339" s="21"/>
      <c r="H339" s="22">
        <v>215.03800000000001</v>
      </c>
      <c r="J339" s="10">
        <v>339.44499999999999</v>
      </c>
      <c r="L339" s="39">
        <v>359.94499999999999</v>
      </c>
      <c r="M339" s="21"/>
    </row>
    <row r="340" spans="1:13" x14ac:dyDescent="0.2">
      <c r="A340" s="20" t="s">
        <v>32</v>
      </c>
      <c r="B340" s="10">
        <v>217.09700000000001</v>
      </c>
      <c r="D340" s="8">
        <v>231.67099999999999</v>
      </c>
      <c r="E340" s="21"/>
      <c r="H340" s="22">
        <v>217.09700000000001</v>
      </c>
      <c r="J340" s="10">
        <v>154.13399999999999</v>
      </c>
      <c r="L340" s="39">
        <v>156.87899999999999</v>
      </c>
      <c r="M340" s="21"/>
    </row>
    <row r="341" spans="1:13" x14ac:dyDescent="0.2">
      <c r="A341" s="20" t="s">
        <v>33</v>
      </c>
      <c r="B341" s="10">
        <v>137.40199999999999</v>
      </c>
      <c r="D341" s="8">
        <v>146.66399999999999</v>
      </c>
      <c r="E341" s="21"/>
      <c r="H341" s="22">
        <v>137.40199999999999</v>
      </c>
      <c r="J341" s="10">
        <v>147.31399999999999</v>
      </c>
      <c r="L341" s="39">
        <v>96.421999999999997</v>
      </c>
      <c r="M341" s="21"/>
    </row>
    <row r="342" spans="1:13" x14ac:dyDescent="0.2">
      <c r="A342" s="20" t="s">
        <v>34</v>
      </c>
      <c r="B342" s="10">
        <v>312.66699999999997</v>
      </c>
      <c r="D342" s="8">
        <v>342.85700000000003</v>
      </c>
      <c r="E342" s="21"/>
      <c r="H342" s="22">
        <v>312.66699999999997</v>
      </c>
      <c r="J342" s="10">
        <v>365.88499999999999</v>
      </c>
      <c r="L342" s="39">
        <v>230.476</v>
      </c>
      <c r="M342" s="21"/>
    </row>
    <row r="343" spans="1:13" x14ac:dyDescent="0.2">
      <c r="A343" s="20" t="s">
        <v>35</v>
      </c>
      <c r="B343" s="10">
        <v>241.96100000000001</v>
      </c>
      <c r="D343" s="8">
        <v>260.416</v>
      </c>
      <c r="E343" s="21"/>
      <c r="H343" s="22">
        <v>241.96100000000001</v>
      </c>
      <c r="J343" s="10">
        <v>252.501</v>
      </c>
      <c r="L343" s="39">
        <v>321.39800000000002</v>
      </c>
      <c r="M343" s="21"/>
    </row>
    <row r="344" spans="1:13" x14ac:dyDescent="0.2">
      <c r="A344" s="20" t="s">
        <v>36</v>
      </c>
      <c r="B344" s="10">
        <v>195.976</v>
      </c>
      <c r="D344" s="8">
        <v>209.66200000000001</v>
      </c>
      <c r="E344" s="21"/>
      <c r="H344" s="22">
        <v>195.976</v>
      </c>
      <c r="J344" s="10">
        <v>72.466999999999999</v>
      </c>
      <c r="L344" s="39">
        <v>81.712000000000003</v>
      </c>
      <c r="M344" s="21"/>
    </row>
    <row r="345" spans="1:13" x14ac:dyDescent="0.2">
      <c r="A345" s="20" t="s">
        <v>37</v>
      </c>
      <c r="B345" s="10">
        <v>44.338000000000001</v>
      </c>
      <c r="D345" s="8">
        <v>46.790999999999997</v>
      </c>
      <c r="E345" s="21"/>
      <c r="H345" s="22">
        <v>44.338000000000001</v>
      </c>
      <c r="J345" s="10">
        <v>40.817999999999998</v>
      </c>
      <c r="L345" s="39">
        <v>11.462999999999999</v>
      </c>
      <c r="M345" s="21"/>
    </row>
    <row r="346" spans="1:13" x14ac:dyDescent="0.2">
      <c r="A346" s="20" t="s">
        <v>26</v>
      </c>
      <c r="B346" s="10">
        <v>19.754000000000001</v>
      </c>
      <c r="D346" s="8">
        <v>20.303999999999998</v>
      </c>
      <c r="E346" s="21"/>
      <c r="H346" s="22">
        <v>19.754000000000001</v>
      </c>
      <c r="J346" s="10">
        <v>7.7539999999999996</v>
      </c>
      <c r="L346" s="39">
        <v>12.079000000000001</v>
      </c>
      <c r="M346" s="21"/>
    </row>
    <row r="347" spans="1:13" x14ac:dyDescent="0.2">
      <c r="A347" s="20" t="s">
        <v>27</v>
      </c>
      <c r="B347" s="10">
        <v>37.667000000000002</v>
      </c>
      <c r="D347" s="8">
        <v>39.393000000000001</v>
      </c>
      <c r="E347" s="21"/>
      <c r="H347" s="22">
        <v>37.667000000000002</v>
      </c>
      <c r="J347" s="10">
        <v>16.725999999999999</v>
      </c>
      <c r="L347" s="39">
        <v>24.431999999999999</v>
      </c>
      <c r="M347" s="21"/>
    </row>
    <row r="348" spans="1:13" x14ac:dyDescent="0.2">
      <c r="A348" s="20" t="s">
        <v>28</v>
      </c>
      <c r="B348" s="10">
        <v>124.92400000000001</v>
      </c>
      <c r="D348" s="8">
        <v>132.70400000000001</v>
      </c>
      <c r="E348" s="21"/>
      <c r="H348" s="22">
        <v>124.92400000000001</v>
      </c>
      <c r="J348" s="10">
        <v>18.341999999999999</v>
      </c>
      <c r="L348" s="39">
        <v>58.429000000000002</v>
      </c>
      <c r="M348" s="21"/>
    </row>
    <row r="349" spans="1:13" x14ac:dyDescent="0.2">
      <c r="A349" s="20" t="s">
        <v>29</v>
      </c>
      <c r="B349" s="10">
        <v>253.69200000000001</v>
      </c>
      <c r="D349" s="8">
        <v>271.089</v>
      </c>
      <c r="E349" s="21"/>
      <c r="H349" s="22">
        <v>253.69200000000001</v>
      </c>
      <c r="J349" s="10">
        <v>136.28299999999999</v>
      </c>
      <c r="L349" s="39">
        <v>167.934</v>
      </c>
      <c r="M349" s="21"/>
    </row>
    <row r="350" spans="1:13" x14ac:dyDescent="0.2">
      <c r="A350" s="20" t="s">
        <v>30</v>
      </c>
      <c r="B350" s="10">
        <v>637.99</v>
      </c>
      <c r="D350" s="8">
        <v>687.64300000000003</v>
      </c>
      <c r="E350" s="21"/>
      <c r="H350" s="22">
        <v>637.99</v>
      </c>
      <c r="J350" s="10">
        <v>790.06100000000004</v>
      </c>
      <c r="L350" s="39">
        <v>598.10199999999998</v>
      </c>
      <c r="M350" s="21"/>
    </row>
    <row r="351" spans="1:13" x14ac:dyDescent="0.2">
      <c r="A351" s="20" t="s">
        <v>31</v>
      </c>
      <c r="B351" s="10">
        <v>269.42099999999999</v>
      </c>
      <c r="D351" s="8">
        <v>287.00099999999998</v>
      </c>
      <c r="E351" s="21"/>
      <c r="H351" s="22">
        <v>269.42099999999999</v>
      </c>
      <c r="J351" s="10">
        <v>395.45800000000003</v>
      </c>
      <c r="L351" s="39">
        <v>471.01499999999999</v>
      </c>
      <c r="M351" s="21"/>
    </row>
    <row r="352" spans="1:13" x14ac:dyDescent="0.2">
      <c r="A352" s="20" t="s">
        <v>32</v>
      </c>
      <c r="B352" s="10">
        <v>144.11099999999999</v>
      </c>
      <c r="D352" s="8">
        <v>152.601</v>
      </c>
      <c r="E352" s="21"/>
      <c r="H352" s="22">
        <v>144.11099999999999</v>
      </c>
      <c r="J352" s="10">
        <v>348.35199999999998</v>
      </c>
      <c r="L352" s="39">
        <v>220.68199999999999</v>
      </c>
      <c r="M352" s="21"/>
    </row>
    <row r="353" spans="1:13" x14ac:dyDescent="0.2">
      <c r="A353" s="20" t="s">
        <v>33</v>
      </c>
      <c r="B353" s="10">
        <v>172.99199999999999</v>
      </c>
      <c r="D353" s="8">
        <v>183.672</v>
      </c>
      <c r="E353" s="21"/>
      <c r="H353" s="22">
        <v>172.99199999999999</v>
      </c>
      <c r="J353" s="10">
        <v>271.63799999999998</v>
      </c>
      <c r="L353" s="39">
        <v>148.51599999999999</v>
      </c>
      <c r="M353" s="21"/>
    </row>
    <row r="354" spans="1:13" x14ac:dyDescent="0.2">
      <c r="A354" s="20" t="s">
        <v>34</v>
      </c>
      <c r="B354" s="10">
        <v>1067.664</v>
      </c>
      <c r="D354" s="8">
        <v>1173.9459999999999</v>
      </c>
      <c r="E354" s="21"/>
      <c r="H354" s="22">
        <v>1067.664</v>
      </c>
      <c r="J354" s="10">
        <v>804.54</v>
      </c>
      <c r="L354" s="39">
        <v>1062.5640000000001</v>
      </c>
      <c r="M354" s="21"/>
    </row>
    <row r="355" spans="1:13" x14ac:dyDescent="0.2">
      <c r="A355" s="20" t="s">
        <v>35</v>
      </c>
      <c r="B355" s="10">
        <v>647.03099999999995</v>
      </c>
      <c r="D355" s="8">
        <v>698.98199999999997</v>
      </c>
      <c r="E355" s="21"/>
      <c r="H355" s="22">
        <v>647.03099999999995</v>
      </c>
      <c r="J355" s="10">
        <v>415.68900000000002</v>
      </c>
      <c r="L355" s="39">
        <v>1261.9659999999999</v>
      </c>
      <c r="M355" s="21"/>
    </row>
    <row r="356" spans="1:13" x14ac:dyDescent="0.2">
      <c r="A356" s="20" t="s">
        <v>36</v>
      </c>
      <c r="B356" s="10">
        <v>122.185</v>
      </c>
      <c r="D356" s="8">
        <v>130.85300000000001</v>
      </c>
      <c r="E356" s="21"/>
      <c r="H356" s="22">
        <v>122.185</v>
      </c>
      <c r="J356" s="10">
        <v>139.87299999999999</v>
      </c>
      <c r="L356" s="39">
        <v>63.207000000000001</v>
      </c>
      <c r="M356" s="21"/>
    </row>
    <row r="357" spans="1:13" x14ac:dyDescent="0.2">
      <c r="A357" s="20" t="s">
        <v>37</v>
      </c>
      <c r="B357" s="10">
        <v>75.995999999999995</v>
      </c>
      <c r="D357" s="8">
        <v>80.009</v>
      </c>
      <c r="E357" s="21"/>
      <c r="H357" s="22">
        <v>75.995999999999995</v>
      </c>
      <c r="J357" s="10">
        <v>31.786999999999999</v>
      </c>
      <c r="L357" s="39">
        <v>13.234999999999999</v>
      </c>
      <c r="M357" s="21"/>
    </row>
    <row r="358" spans="1:13" x14ac:dyDescent="0.2">
      <c r="A358" s="20" t="s">
        <v>26</v>
      </c>
      <c r="B358" s="10">
        <v>18.561</v>
      </c>
      <c r="D358" s="8">
        <v>19.167000000000002</v>
      </c>
      <c r="E358" s="21"/>
      <c r="H358" s="22">
        <v>18.561</v>
      </c>
      <c r="J358" s="10">
        <v>6.5060000000000002</v>
      </c>
      <c r="L358" s="39">
        <v>8.1449999999999996</v>
      </c>
      <c r="M358" s="21"/>
    </row>
    <row r="359" spans="1:13" x14ac:dyDescent="0.2">
      <c r="A359" s="20" t="s">
        <v>27</v>
      </c>
      <c r="B359" s="10">
        <v>52.798999999999999</v>
      </c>
      <c r="D359" s="8">
        <v>55.42</v>
      </c>
      <c r="E359" s="21"/>
      <c r="H359" s="22">
        <v>52.798999999999999</v>
      </c>
      <c r="J359" s="10">
        <v>31.827000000000002</v>
      </c>
      <c r="L359" s="39">
        <v>41.759</v>
      </c>
      <c r="M359" s="21"/>
    </row>
    <row r="360" spans="1:13" x14ac:dyDescent="0.2">
      <c r="A360" s="20" t="s">
        <v>28</v>
      </c>
      <c r="B360" s="10">
        <v>86.843000000000004</v>
      </c>
      <c r="D360" s="8">
        <v>91.725999999999999</v>
      </c>
      <c r="E360" s="21"/>
      <c r="H360" s="22">
        <v>86.843000000000004</v>
      </c>
      <c r="J360" s="10">
        <v>22.321000000000002</v>
      </c>
      <c r="L360" s="39">
        <v>70.426000000000002</v>
      </c>
      <c r="M360" s="21"/>
    </row>
    <row r="361" spans="1:13" x14ac:dyDescent="0.2">
      <c r="A361" s="20" t="s">
        <v>29</v>
      </c>
      <c r="B361" s="10">
        <v>481.69799999999998</v>
      </c>
      <c r="D361" s="8">
        <v>516.93200000000002</v>
      </c>
      <c r="E361" s="21"/>
      <c r="H361" s="22">
        <v>481.69799999999998</v>
      </c>
      <c r="J361" s="10">
        <v>226.70400000000001</v>
      </c>
      <c r="L361" s="39">
        <v>384.738</v>
      </c>
      <c r="M361" s="21"/>
    </row>
    <row r="362" spans="1:13" x14ac:dyDescent="0.2">
      <c r="A362" s="20" t="s">
        <v>30</v>
      </c>
      <c r="B362" s="10">
        <v>963.34299999999996</v>
      </c>
      <c r="D362" s="8">
        <v>1036.3969999999999</v>
      </c>
      <c r="E362" s="21"/>
      <c r="H362" s="22">
        <v>963.34299999999996</v>
      </c>
      <c r="J362" s="10">
        <v>1340.0160000000001</v>
      </c>
      <c r="L362" s="39">
        <v>776.15099999999995</v>
      </c>
      <c r="M362" s="21"/>
    </row>
    <row r="363" spans="1:13" x14ac:dyDescent="0.2">
      <c r="A363" s="20" t="s">
        <v>31</v>
      </c>
      <c r="B363" s="10">
        <v>528.14099999999996</v>
      </c>
      <c r="D363" s="8">
        <v>567.35900000000004</v>
      </c>
      <c r="E363" s="21"/>
      <c r="H363" s="22">
        <v>528.14099999999996</v>
      </c>
      <c r="J363" s="10">
        <v>869.43</v>
      </c>
      <c r="L363" s="39">
        <v>858.67</v>
      </c>
      <c r="M363" s="21"/>
    </row>
    <row r="364" spans="1:13" x14ac:dyDescent="0.2">
      <c r="A364" s="20" t="s">
        <v>32</v>
      </c>
      <c r="B364" s="10">
        <v>188.577</v>
      </c>
      <c r="D364" s="8">
        <v>201.91300000000001</v>
      </c>
      <c r="E364" s="21"/>
      <c r="H364" s="22">
        <v>188.577</v>
      </c>
      <c r="J364" s="10">
        <v>201.708</v>
      </c>
      <c r="L364" s="39">
        <v>123.246</v>
      </c>
      <c r="M364" s="21"/>
    </row>
    <row r="365" spans="1:13" x14ac:dyDescent="0.2">
      <c r="A365" s="20" t="s">
        <v>33</v>
      </c>
      <c r="B365" s="10">
        <v>238.52600000000001</v>
      </c>
      <c r="D365" s="8">
        <v>256.87400000000002</v>
      </c>
      <c r="E365" s="21"/>
      <c r="H365" s="22">
        <v>238.52600000000001</v>
      </c>
      <c r="J365" s="10">
        <v>290.98399999999998</v>
      </c>
      <c r="L365" s="39">
        <v>193.751</v>
      </c>
      <c r="M365" s="21"/>
    </row>
    <row r="366" spans="1:13" x14ac:dyDescent="0.2">
      <c r="A366" s="20" t="s">
        <v>34</v>
      </c>
      <c r="B366" s="10">
        <v>498.971</v>
      </c>
      <c r="D366" s="8">
        <v>543.41</v>
      </c>
      <c r="E366" s="21"/>
      <c r="H366" s="22">
        <v>498.971</v>
      </c>
      <c r="J366" s="10">
        <v>335.07499999999999</v>
      </c>
      <c r="L366" s="39">
        <v>347.113</v>
      </c>
      <c r="M366" s="21"/>
    </row>
    <row r="367" spans="1:13" x14ac:dyDescent="0.2">
      <c r="A367" s="20" t="s">
        <v>35</v>
      </c>
      <c r="B367" s="10">
        <v>950.13099999999997</v>
      </c>
      <c r="D367" s="8">
        <v>1030.7829999999999</v>
      </c>
      <c r="E367" s="21"/>
      <c r="H367" s="22">
        <v>950.13099999999997</v>
      </c>
      <c r="J367" s="10">
        <v>631.45500000000004</v>
      </c>
      <c r="L367" s="39">
        <v>1420.809</v>
      </c>
      <c r="M367" s="21"/>
    </row>
    <row r="368" spans="1:13" x14ac:dyDescent="0.2">
      <c r="A368" s="20" t="s">
        <v>36</v>
      </c>
      <c r="B368" s="10">
        <v>119.709</v>
      </c>
      <c r="D368" s="8">
        <v>127.68899999999999</v>
      </c>
      <c r="E368" s="21"/>
      <c r="H368" s="22">
        <v>119.709</v>
      </c>
      <c r="J368" s="10">
        <v>160.24700000000001</v>
      </c>
      <c r="L368" s="39">
        <v>155.92599999999999</v>
      </c>
      <c r="M368" s="21"/>
    </row>
    <row r="369" spans="1:13" x14ac:dyDescent="0.2">
      <c r="A369" s="35" t="s">
        <v>37</v>
      </c>
      <c r="B369" s="25">
        <v>64.353999999999999</v>
      </c>
      <c r="C369" s="24"/>
      <c r="D369" s="37">
        <v>68.186999999999998</v>
      </c>
      <c r="E369" s="26"/>
      <c r="H369" s="23">
        <v>64.353999999999999</v>
      </c>
      <c r="I369" s="24"/>
      <c r="J369" s="25">
        <v>230.315</v>
      </c>
      <c r="K369" s="24"/>
      <c r="L369" s="40">
        <v>15.976000000000001</v>
      </c>
      <c r="M369" s="26"/>
    </row>
  </sheetData>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8360A-E777-A14A-AE05-514DBE70B56B}">
  <dimension ref="A1:W370"/>
  <sheetViews>
    <sheetView topLeftCell="A4" zoomScaleNormal="100" workbookViewId="0">
      <selection activeCell="N6" sqref="N6"/>
    </sheetView>
  </sheetViews>
  <sheetFormatPr baseColWidth="10" defaultRowHeight="16" x14ac:dyDescent="0.2"/>
  <cols>
    <col min="1" max="1" width="44.33203125" customWidth="1"/>
    <col min="2" max="2" width="21.33203125" style="16" customWidth="1"/>
    <col min="6" max="6" width="10.83203125" style="10"/>
    <col min="10" max="10" width="10.83203125" customWidth="1"/>
    <col min="14" max="14" width="17" style="16" customWidth="1"/>
    <col min="15" max="15" width="10.83203125" style="16"/>
  </cols>
  <sheetData>
    <row r="1" spans="1:23" x14ac:dyDescent="0.2">
      <c r="A1" t="s">
        <v>114</v>
      </c>
    </row>
    <row r="2" spans="1:23" x14ac:dyDescent="0.2">
      <c r="A2" s="14" t="s">
        <v>99</v>
      </c>
    </row>
    <row r="3" spans="1:23" x14ac:dyDescent="0.2">
      <c r="A3" s="10" t="s">
        <v>100</v>
      </c>
    </row>
    <row r="4" spans="1:23" x14ac:dyDescent="0.2">
      <c r="A4" s="15" t="s">
        <v>102</v>
      </c>
    </row>
    <row r="5" spans="1:23" x14ac:dyDescent="0.2">
      <c r="A5" t="s">
        <v>113</v>
      </c>
      <c r="N5" s="16" t="s">
        <v>134</v>
      </c>
    </row>
    <row r="6" spans="1:23" x14ac:dyDescent="0.2">
      <c r="A6" s="41" t="s">
        <v>107</v>
      </c>
      <c r="B6" s="33"/>
      <c r="C6" s="18"/>
      <c r="D6" s="18"/>
      <c r="E6" s="18"/>
      <c r="F6" s="34"/>
      <c r="G6" s="18"/>
      <c r="H6" s="18"/>
      <c r="I6" s="18"/>
      <c r="J6" s="18"/>
      <c r="K6" s="19"/>
      <c r="N6" s="42" t="s">
        <v>108</v>
      </c>
      <c r="O6" s="32"/>
      <c r="R6" s="41" t="s">
        <v>109</v>
      </c>
      <c r="S6" s="18"/>
      <c r="T6" s="18"/>
      <c r="U6" s="18"/>
      <c r="V6" s="18"/>
      <c r="W6" s="19"/>
    </row>
    <row r="7" spans="1:23" x14ac:dyDescent="0.2">
      <c r="A7" s="20" t="s">
        <v>133</v>
      </c>
      <c r="E7">
        <f>E8/G11</f>
        <v>-0.30030031225835296</v>
      </c>
      <c r="I7">
        <f>I8/G11</f>
        <v>0.30030119249694853</v>
      </c>
      <c r="K7" s="21"/>
      <c r="N7" s="31" t="s">
        <v>106</v>
      </c>
      <c r="O7" s="28"/>
      <c r="R7" s="20" t="s">
        <v>134</v>
      </c>
      <c r="U7">
        <f>U10-G11</f>
        <v>28.817844444444489</v>
      </c>
      <c r="W7" s="21">
        <f>W10-G11</f>
        <v>38.554533333333467</v>
      </c>
    </row>
    <row r="8" spans="1:23" x14ac:dyDescent="0.2">
      <c r="A8" s="20" t="s">
        <v>128</v>
      </c>
      <c r="B8" s="16" t="s">
        <v>86</v>
      </c>
      <c r="E8" s="15">
        <f>E11-G11</f>
        <v>-39.801749999999856</v>
      </c>
      <c r="F8" s="10" t="s">
        <v>86</v>
      </c>
      <c r="I8" s="15">
        <f>I11-G11</f>
        <v>39.801866666666825</v>
      </c>
      <c r="J8" t="s">
        <v>87</v>
      </c>
      <c r="K8" s="21"/>
      <c r="N8" s="27" t="s">
        <v>73</v>
      </c>
      <c r="O8" s="28" t="s">
        <v>73</v>
      </c>
      <c r="R8" s="22" t="s">
        <v>105</v>
      </c>
      <c r="S8" t="s">
        <v>39</v>
      </c>
      <c r="T8" s="10" t="s">
        <v>75</v>
      </c>
      <c r="V8" s="10" t="s">
        <v>76</v>
      </c>
      <c r="W8" s="21"/>
    </row>
    <row r="9" spans="1:23" x14ac:dyDescent="0.2">
      <c r="A9" s="20"/>
      <c r="B9" s="16" t="s">
        <v>73</v>
      </c>
      <c r="D9" t="s">
        <v>73</v>
      </c>
      <c r="F9" s="10" t="s">
        <v>73</v>
      </c>
      <c r="H9" t="s">
        <v>73</v>
      </c>
      <c r="J9" t="s">
        <v>73</v>
      </c>
      <c r="K9" s="21"/>
      <c r="N9" s="27" t="s">
        <v>103</v>
      </c>
      <c r="O9" s="28" t="s">
        <v>85</v>
      </c>
      <c r="R9" s="22" t="s">
        <v>73</v>
      </c>
      <c r="S9">
        <f>AVERAGE(R8:R370)</f>
        <v>132.539822222222</v>
      </c>
      <c r="T9" s="10" t="s">
        <v>73</v>
      </c>
      <c r="U9" t="s">
        <v>39</v>
      </c>
      <c r="V9" s="10" t="s">
        <v>73</v>
      </c>
      <c r="W9" t="s">
        <v>39</v>
      </c>
    </row>
    <row r="10" spans="1:23" x14ac:dyDescent="0.2">
      <c r="A10" s="20"/>
      <c r="B10" s="16" t="s">
        <v>88</v>
      </c>
      <c r="C10" t="s">
        <v>39</v>
      </c>
      <c r="D10" t="s">
        <v>89</v>
      </c>
      <c r="E10" t="s">
        <v>39</v>
      </c>
      <c r="F10" s="10" t="s">
        <v>90</v>
      </c>
      <c r="G10" t="s">
        <v>39</v>
      </c>
      <c r="H10" t="s">
        <v>101</v>
      </c>
      <c r="I10" t="s">
        <v>39</v>
      </c>
      <c r="J10" t="s">
        <v>91</v>
      </c>
      <c r="K10" t="s">
        <v>39</v>
      </c>
      <c r="N10" s="27" t="s">
        <v>104</v>
      </c>
      <c r="O10" s="28" t="s">
        <v>104</v>
      </c>
      <c r="R10" s="22" t="s">
        <v>90</v>
      </c>
      <c r="T10" s="10" t="s">
        <v>74</v>
      </c>
      <c r="U10">
        <f>AVERAGE(T:T)</f>
        <v>161.35766666666649</v>
      </c>
      <c r="V10" s="10" t="s">
        <v>74</v>
      </c>
      <c r="W10" s="21">
        <f>AVERAGE(V:V)</f>
        <v>171.09435555555547</v>
      </c>
    </row>
    <row r="11" spans="1:23" x14ac:dyDescent="0.2">
      <c r="A11" s="20" t="s">
        <v>26</v>
      </c>
      <c r="B11" s="16">
        <v>7.4870000000000001</v>
      </c>
      <c r="C11">
        <f>AVERAGE(B9:B370)</f>
        <v>39.801711111111096</v>
      </c>
      <c r="D11">
        <v>17.445</v>
      </c>
      <c r="E11" s="15">
        <f>AVERAGE(D:D)</f>
        <v>92.738072222222144</v>
      </c>
      <c r="F11" s="10">
        <v>24.933</v>
      </c>
      <c r="G11" s="10">
        <f>AVERAGE(F9:F370)</f>
        <v>132.539822222222</v>
      </c>
      <c r="H11">
        <v>32.42</v>
      </c>
      <c r="I11" s="15">
        <f>AVERAGE(H:H)</f>
        <v>172.34168888888883</v>
      </c>
      <c r="J11">
        <v>37.436999999999998</v>
      </c>
      <c r="K11" s="21">
        <f>AVERAGE(J:J)</f>
        <v>199.00881666666635</v>
      </c>
      <c r="N11" s="27">
        <v>7.4870000000000001</v>
      </c>
      <c r="O11" s="28">
        <v>7.4870000000000001</v>
      </c>
      <c r="R11" s="22">
        <v>24.933</v>
      </c>
      <c r="T11" s="10">
        <v>25.140999999999998</v>
      </c>
      <c r="V11" s="10">
        <v>25.550999999999998</v>
      </c>
      <c r="W11" s="21"/>
    </row>
    <row r="12" spans="1:23" x14ac:dyDescent="0.2">
      <c r="A12" s="20" t="s">
        <v>27</v>
      </c>
      <c r="B12" s="16">
        <v>4.367</v>
      </c>
      <c r="D12">
        <v>10.176</v>
      </c>
      <c r="F12" s="10">
        <v>14.542999999999999</v>
      </c>
      <c r="H12">
        <v>18.911000000000001</v>
      </c>
      <c r="J12">
        <v>21.837</v>
      </c>
      <c r="K12" s="21"/>
      <c r="N12" s="27">
        <v>4.367</v>
      </c>
      <c r="O12" s="28">
        <v>4.367</v>
      </c>
      <c r="R12" s="22">
        <v>14.542999999999999</v>
      </c>
      <c r="T12" s="10">
        <v>14.191000000000001</v>
      </c>
      <c r="V12" s="10">
        <v>27.96</v>
      </c>
      <c r="W12" s="21"/>
    </row>
    <row r="13" spans="1:23" x14ac:dyDescent="0.2">
      <c r="A13" s="20" t="s">
        <v>28</v>
      </c>
      <c r="B13" s="16">
        <v>12.835000000000001</v>
      </c>
      <c r="D13">
        <v>29.905000000000001</v>
      </c>
      <c r="F13" s="10">
        <v>42.74</v>
      </c>
      <c r="H13">
        <v>55.575000000000003</v>
      </c>
      <c r="J13">
        <v>64.174000000000007</v>
      </c>
      <c r="K13" s="21"/>
      <c r="N13" s="27">
        <v>12.835000000000001</v>
      </c>
      <c r="O13" s="28">
        <v>12.835000000000001</v>
      </c>
      <c r="R13" s="22">
        <v>42.74</v>
      </c>
      <c r="T13" s="10">
        <v>15.510999999999999</v>
      </c>
      <c r="V13" s="10">
        <v>36.122999999999998</v>
      </c>
      <c r="W13" s="21"/>
    </row>
    <row r="14" spans="1:23" x14ac:dyDescent="0.2">
      <c r="A14" s="20" t="s">
        <v>29</v>
      </c>
      <c r="B14" s="16">
        <v>72.983000000000004</v>
      </c>
      <c r="D14">
        <v>170.05</v>
      </c>
      <c r="F14" s="10">
        <v>243.03299999999999</v>
      </c>
      <c r="H14">
        <v>316.01499999999999</v>
      </c>
      <c r="J14">
        <v>364.91399999999999</v>
      </c>
      <c r="K14" s="21"/>
      <c r="N14" s="27">
        <v>72.983000000000004</v>
      </c>
      <c r="O14" s="28">
        <v>72.983000000000004</v>
      </c>
      <c r="R14" s="22">
        <v>243.03299999999999</v>
      </c>
      <c r="T14" s="10">
        <v>98.584999999999994</v>
      </c>
      <c r="V14" s="10">
        <v>180.26300000000001</v>
      </c>
      <c r="W14" s="21"/>
    </row>
    <row r="15" spans="1:23" x14ac:dyDescent="0.2">
      <c r="A15" s="20" t="s">
        <v>30</v>
      </c>
      <c r="B15" s="16">
        <v>47.188000000000002</v>
      </c>
      <c r="D15">
        <v>109.949</v>
      </c>
      <c r="F15" s="10">
        <v>157.137</v>
      </c>
      <c r="H15">
        <v>204.32499999999999</v>
      </c>
      <c r="J15">
        <v>235.94200000000001</v>
      </c>
      <c r="K15" s="21"/>
      <c r="N15" s="27">
        <v>47.188000000000002</v>
      </c>
      <c r="O15" s="28">
        <v>47.188000000000002</v>
      </c>
      <c r="R15" s="22">
        <v>157.137</v>
      </c>
      <c r="T15" s="10">
        <v>386.685</v>
      </c>
      <c r="V15" s="10">
        <v>329.93400000000003</v>
      </c>
      <c r="W15" s="21"/>
    </row>
    <row r="16" spans="1:23" x14ac:dyDescent="0.2">
      <c r="A16" s="20" t="s">
        <v>31</v>
      </c>
      <c r="B16" s="16">
        <v>42.188000000000002</v>
      </c>
      <c r="D16">
        <v>98.298000000000002</v>
      </c>
      <c r="F16" s="10">
        <v>140.48599999999999</v>
      </c>
      <c r="H16">
        <v>182.67400000000001</v>
      </c>
      <c r="J16">
        <v>210.94</v>
      </c>
      <c r="K16" s="21"/>
      <c r="N16" s="27">
        <v>42.188000000000002</v>
      </c>
      <c r="O16" s="28">
        <v>42.188000000000002</v>
      </c>
      <c r="R16" s="22">
        <v>140.48599999999999</v>
      </c>
      <c r="T16" s="10">
        <v>176.82400000000001</v>
      </c>
      <c r="V16" s="10">
        <v>199.386</v>
      </c>
      <c r="W16" s="21"/>
    </row>
    <row r="17" spans="1:23" x14ac:dyDescent="0.2">
      <c r="A17" s="20" t="s">
        <v>32</v>
      </c>
      <c r="B17" s="16">
        <v>35.076999999999998</v>
      </c>
      <c r="D17">
        <v>81.73</v>
      </c>
      <c r="F17" s="10">
        <v>116.807</v>
      </c>
      <c r="H17">
        <v>151.88499999999999</v>
      </c>
      <c r="J17">
        <v>175.387</v>
      </c>
      <c r="K17" s="21"/>
      <c r="N17" s="27">
        <v>35.076999999999998</v>
      </c>
      <c r="O17" s="28">
        <v>35.076999999999998</v>
      </c>
      <c r="R17" s="22">
        <v>116.807</v>
      </c>
      <c r="T17" s="10">
        <v>139.87899999999999</v>
      </c>
      <c r="V17" s="10">
        <v>156.96700000000001</v>
      </c>
      <c r="W17" s="21"/>
    </row>
    <row r="18" spans="1:23" x14ac:dyDescent="0.2">
      <c r="A18" s="20" t="s">
        <v>33</v>
      </c>
      <c r="B18" s="16">
        <v>43.999000000000002</v>
      </c>
      <c r="D18">
        <v>102.518</v>
      </c>
      <c r="F18" s="10">
        <v>146.518</v>
      </c>
      <c r="H18">
        <v>190.517</v>
      </c>
      <c r="J18">
        <v>219.99700000000001</v>
      </c>
      <c r="K18" s="21"/>
      <c r="N18" s="27">
        <v>43.999000000000002</v>
      </c>
      <c r="O18" s="28">
        <v>43.999000000000002</v>
      </c>
      <c r="R18" s="22">
        <v>146.518</v>
      </c>
      <c r="T18" s="10">
        <v>206.166</v>
      </c>
      <c r="V18" s="10">
        <v>181.13499999999999</v>
      </c>
      <c r="W18" s="21"/>
    </row>
    <row r="19" spans="1:23" x14ac:dyDescent="0.2">
      <c r="A19" s="20" t="s">
        <v>34</v>
      </c>
      <c r="B19" s="16">
        <v>48.787999999999997</v>
      </c>
      <c r="D19">
        <v>113.675</v>
      </c>
      <c r="F19" s="10">
        <v>162.46299999999999</v>
      </c>
      <c r="H19">
        <v>211.251</v>
      </c>
      <c r="J19">
        <v>243.93899999999999</v>
      </c>
      <c r="K19" s="21"/>
      <c r="N19" s="27">
        <v>48.787999999999997</v>
      </c>
      <c r="O19" s="28">
        <v>48.787999999999997</v>
      </c>
      <c r="R19" s="22">
        <v>162.46299999999999</v>
      </c>
      <c r="T19" s="10">
        <v>152.541</v>
      </c>
      <c r="V19" s="10">
        <v>184.75200000000001</v>
      </c>
      <c r="W19" s="21"/>
    </row>
    <row r="20" spans="1:23" x14ac:dyDescent="0.2">
      <c r="A20" s="20" t="s">
        <v>35</v>
      </c>
      <c r="B20" s="16">
        <v>46.091999999999999</v>
      </c>
      <c r="D20">
        <v>107.39400000000001</v>
      </c>
      <c r="F20" s="10">
        <v>153.48500000000001</v>
      </c>
      <c r="H20">
        <v>199.577</v>
      </c>
      <c r="J20">
        <v>230.458</v>
      </c>
      <c r="K20" s="21"/>
      <c r="N20" s="27">
        <v>46.091999999999999</v>
      </c>
      <c r="O20" s="28">
        <v>46.091999999999999</v>
      </c>
      <c r="R20" s="22">
        <v>153.48500000000001</v>
      </c>
      <c r="T20" s="10">
        <v>145.155</v>
      </c>
      <c r="V20" s="10">
        <v>174.43100000000001</v>
      </c>
      <c r="W20" s="21"/>
    </row>
    <row r="21" spans="1:23" x14ac:dyDescent="0.2">
      <c r="A21" s="20" t="s">
        <v>36</v>
      </c>
      <c r="B21" s="16">
        <v>8.2100000000000009</v>
      </c>
      <c r="D21">
        <v>19.129000000000001</v>
      </c>
      <c r="F21" s="10">
        <v>27.338999999999999</v>
      </c>
      <c r="H21">
        <v>35.548999999999999</v>
      </c>
      <c r="J21">
        <v>41.05</v>
      </c>
      <c r="K21" s="21"/>
      <c r="N21" s="27">
        <v>8.2100000000000009</v>
      </c>
      <c r="O21" s="28">
        <v>8.2100000000000009</v>
      </c>
      <c r="R21" s="22">
        <v>27.338999999999999</v>
      </c>
      <c r="T21" s="10">
        <v>28.376999999999999</v>
      </c>
      <c r="V21" s="10">
        <v>32.110999999999997</v>
      </c>
      <c r="W21" s="21"/>
    </row>
    <row r="22" spans="1:23" x14ac:dyDescent="0.2">
      <c r="A22" s="20" t="s">
        <v>37</v>
      </c>
      <c r="B22" s="16">
        <v>4.2149999999999999</v>
      </c>
      <c r="D22">
        <v>9.8219999999999992</v>
      </c>
      <c r="F22" s="10">
        <v>14.037000000000001</v>
      </c>
      <c r="H22">
        <v>18.253</v>
      </c>
      <c r="J22">
        <v>21.077000000000002</v>
      </c>
      <c r="K22" s="21"/>
      <c r="N22" s="27">
        <v>4.2149999999999999</v>
      </c>
      <c r="O22" s="28">
        <v>4.2149999999999999</v>
      </c>
      <c r="R22" s="22">
        <v>14.037000000000001</v>
      </c>
      <c r="T22" s="10">
        <v>14.138999999999999</v>
      </c>
      <c r="V22" s="10">
        <v>14.321</v>
      </c>
      <c r="W22" s="21"/>
    </row>
    <row r="23" spans="1:23" x14ac:dyDescent="0.2">
      <c r="A23" s="20" t="s">
        <v>26</v>
      </c>
      <c r="B23" s="16">
        <v>4.1749999999999998</v>
      </c>
      <c r="D23">
        <v>9.7279999999999998</v>
      </c>
      <c r="F23" s="10">
        <v>13.903</v>
      </c>
      <c r="H23">
        <v>18.079000000000001</v>
      </c>
      <c r="J23">
        <v>20.876000000000001</v>
      </c>
      <c r="K23" s="21"/>
      <c r="N23" s="27">
        <v>4.1749999999999998</v>
      </c>
      <c r="O23" s="28">
        <v>4.1749999999999998</v>
      </c>
      <c r="R23" s="22">
        <v>13.903</v>
      </c>
      <c r="T23" s="10">
        <v>13.903</v>
      </c>
      <c r="V23" s="10">
        <v>13.903</v>
      </c>
      <c r="W23" s="21"/>
    </row>
    <row r="24" spans="1:23" x14ac:dyDescent="0.2">
      <c r="A24" s="20" t="s">
        <v>27</v>
      </c>
      <c r="B24" s="16">
        <v>4.16</v>
      </c>
      <c r="D24">
        <v>9.6929999999999996</v>
      </c>
      <c r="F24" s="10">
        <v>13.853999999999999</v>
      </c>
      <c r="H24">
        <v>18.013999999999999</v>
      </c>
      <c r="J24">
        <v>20.800999999999998</v>
      </c>
      <c r="K24" s="21"/>
      <c r="N24" s="27">
        <v>4.16</v>
      </c>
      <c r="O24" s="28">
        <v>4.16</v>
      </c>
      <c r="R24" s="22">
        <v>13.853999999999999</v>
      </c>
      <c r="T24" s="10">
        <v>13.853999999999999</v>
      </c>
      <c r="V24" s="10">
        <v>13.978999999999999</v>
      </c>
      <c r="W24" s="21"/>
    </row>
    <row r="25" spans="1:23" x14ac:dyDescent="0.2">
      <c r="A25" s="20" t="s">
        <v>28</v>
      </c>
      <c r="B25" s="16">
        <v>6.093</v>
      </c>
      <c r="D25">
        <v>14.196</v>
      </c>
      <c r="F25" s="10">
        <v>20.289000000000001</v>
      </c>
      <c r="H25">
        <v>26.381</v>
      </c>
      <c r="J25">
        <v>30.463999999999999</v>
      </c>
      <c r="K25" s="21"/>
      <c r="N25" s="27">
        <v>6.093</v>
      </c>
      <c r="O25" s="28">
        <v>6.093</v>
      </c>
      <c r="R25" s="22">
        <v>20.289000000000001</v>
      </c>
      <c r="T25" s="10">
        <v>14.095000000000001</v>
      </c>
      <c r="V25" s="10">
        <v>16.600000000000001</v>
      </c>
      <c r="W25" s="21"/>
    </row>
    <row r="26" spans="1:23" x14ac:dyDescent="0.2">
      <c r="A26" s="20" t="s">
        <v>29</v>
      </c>
      <c r="B26" s="16">
        <v>66.045000000000002</v>
      </c>
      <c r="D26">
        <v>153.88499999999999</v>
      </c>
      <c r="F26" s="10">
        <v>219.93</v>
      </c>
      <c r="H26">
        <v>285.97399999999999</v>
      </c>
      <c r="J26">
        <v>330.22500000000002</v>
      </c>
      <c r="K26" s="21"/>
      <c r="N26" s="27">
        <v>66.045000000000002</v>
      </c>
      <c r="O26" s="28">
        <v>66.045000000000002</v>
      </c>
      <c r="R26" s="22">
        <v>219.93</v>
      </c>
      <c r="T26" s="10">
        <v>48.438000000000002</v>
      </c>
      <c r="V26" s="10">
        <v>77.111999999999995</v>
      </c>
      <c r="W26" s="21"/>
    </row>
    <row r="27" spans="1:23" x14ac:dyDescent="0.2">
      <c r="A27" s="20" t="s">
        <v>30</v>
      </c>
      <c r="B27" s="16">
        <v>139.339</v>
      </c>
      <c r="D27">
        <v>324.66000000000003</v>
      </c>
      <c r="F27" s="10">
        <v>463.99900000000002</v>
      </c>
      <c r="H27">
        <v>603.33900000000006</v>
      </c>
      <c r="J27">
        <v>696.69600000000003</v>
      </c>
      <c r="K27" s="21"/>
      <c r="N27" s="27">
        <v>139.339</v>
      </c>
      <c r="O27" s="28">
        <v>139.339</v>
      </c>
      <c r="R27" s="22">
        <v>463.99900000000002</v>
      </c>
      <c r="T27" s="10">
        <v>473.47699999999998</v>
      </c>
      <c r="V27" s="10">
        <v>452.18900000000002</v>
      </c>
      <c r="W27" s="21"/>
    </row>
    <row r="28" spans="1:23" x14ac:dyDescent="0.2">
      <c r="A28" s="20" t="s">
        <v>31</v>
      </c>
      <c r="B28" s="16">
        <v>49.104999999999997</v>
      </c>
      <c r="D28">
        <v>114.41500000000001</v>
      </c>
      <c r="F28" s="10">
        <v>163.51900000000001</v>
      </c>
      <c r="H28">
        <v>212.624</v>
      </c>
      <c r="J28">
        <v>245.52500000000001</v>
      </c>
      <c r="K28" s="21"/>
      <c r="N28" s="27">
        <v>49.104999999999997</v>
      </c>
      <c r="O28" s="28">
        <v>49.104999999999997</v>
      </c>
      <c r="R28" s="22">
        <v>163.51900000000001</v>
      </c>
      <c r="T28" s="10">
        <v>469.17599999999999</v>
      </c>
      <c r="V28" s="10">
        <v>532.51199999999994</v>
      </c>
      <c r="W28" s="21"/>
    </row>
    <row r="29" spans="1:23" x14ac:dyDescent="0.2">
      <c r="A29" s="20" t="s">
        <v>32</v>
      </c>
      <c r="B29" s="16">
        <v>66.119</v>
      </c>
      <c r="D29">
        <v>154.05699999999999</v>
      </c>
      <c r="F29" s="10">
        <v>220.17699999999999</v>
      </c>
      <c r="H29">
        <v>286.29599999999999</v>
      </c>
      <c r="J29">
        <v>330.59500000000003</v>
      </c>
      <c r="K29" s="21"/>
      <c r="N29" s="27">
        <v>66.119</v>
      </c>
      <c r="O29" s="28">
        <v>66.119</v>
      </c>
      <c r="R29" s="22">
        <v>220.17699999999999</v>
      </c>
      <c r="T29" s="10">
        <v>353.21600000000001</v>
      </c>
      <c r="V29" s="10">
        <v>299.98200000000003</v>
      </c>
      <c r="W29" s="21"/>
    </row>
    <row r="30" spans="1:23" x14ac:dyDescent="0.2">
      <c r="A30" s="20" t="s">
        <v>33</v>
      </c>
      <c r="B30" s="16">
        <v>47.723999999999997</v>
      </c>
      <c r="D30">
        <v>111.19799999999999</v>
      </c>
      <c r="F30" s="10">
        <v>158.922</v>
      </c>
      <c r="H30">
        <v>206.64599999999999</v>
      </c>
      <c r="J30">
        <v>238.62200000000001</v>
      </c>
      <c r="K30" s="21"/>
      <c r="N30" s="27">
        <v>47.723999999999997</v>
      </c>
      <c r="O30" s="28">
        <v>47.723999999999997</v>
      </c>
      <c r="R30" s="22">
        <v>158.922</v>
      </c>
      <c r="T30" s="10">
        <v>261.947</v>
      </c>
      <c r="V30" s="10">
        <v>247.74600000000001</v>
      </c>
      <c r="W30" s="21"/>
    </row>
    <row r="31" spans="1:23" x14ac:dyDescent="0.2">
      <c r="A31" s="20" t="s">
        <v>34</v>
      </c>
      <c r="B31" s="16">
        <v>43.658000000000001</v>
      </c>
      <c r="D31">
        <v>101.724</v>
      </c>
      <c r="F31" s="10">
        <v>145.38200000000001</v>
      </c>
      <c r="H31">
        <v>189.04</v>
      </c>
      <c r="J31">
        <v>218.291</v>
      </c>
      <c r="K31" s="21"/>
      <c r="N31" s="27">
        <v>43.658000000000001</v>
      </c>
      <c r="O31" s="28">
        <v>43.658000000000001</v>
      </c>
      <c r="R31" s="22">
        <v>145.38200000000001</v>
      </c>
      <c r="T31" s="10">
        <v>188.22300000000001</v>
      </c>
      <c r="V31" s="10">
        <v>206.40799999999999</v>
      </c>
      <c r="W31" s="21"/>
    </row>
    <row r="32" spans="1:23" x14ac:dyDescent="0.2">
      <c r="A32" s="20" t="s">
        <v>35</v>
      </c>
      <c r="B32" s="16">
        <v>54.338000000000001</v>
      </c>
      <c r="D32">
        <v>126.607</v>
      </c>
      <c r="F32" s="10">
        <v>180.94399999999999</v>
      </c>
      <c r="H32">
        <v>235.28200000000001</v>
      </c>
      <c r="J32">
        <v>271.68799999999999</v>
      </c>
      <c r="K32" s="21"/>
      <c r="N32" s="27">
        <v>54.338000000000001</v>
      </c>
      <c r="O32" s="28">
        <v>54.338000000000001</v>
      </c>
      <c r="R32" s="22">
        <v>180.94399999999999</v>
      </c>
      <c r="T32" s="10">
        <v>127.294</v>
      </c>
      <c r="V32" s="10">
        <v>149.13499999999999</v>
      </c>
      <c r="W32" s="21"/>
    </row>
    <row r="33" spans="1:23" x14ac:dyDescent="0.2">
      <c r="A33" s="20" t="s">
        <v>36</v>
      </c>
      <c r="B33" s="16">
        <v>5.0869999999999997</v>
      </c>
      <c r="D33">
        <v>11.852</v>
      </c>
      <c r="F33" s="10">
        <v>16.937999999999999</v>
      </c>
      <c r="H33">
        <v>22.024999999999999</v>
      </c>
      <c r="J33">
        <v>25.433</v>
      </c>
      <c r="K33" s="21"/>
      <c r="N33" s="27">
        <v>5.0869999999999997</v>
      </c>
      <c r="O33" s="28">
        <v>5.0869999999999997</v>
      </c>
      <c r="R33" s="22">
        <v>16.937999999999999</v>
      </c>
      <c r="T33" s="10">
        <v>29.998999999999999</v>
      </c>
      <c r="V33" s="10">
        <v>18.927</v>
      </c>
      <c r="W33" s="21"/>
    </row>
    <row r="34" spans="1:23" x14ac:dyDescent="0.2">
      <c r="A34" s="20" t="s">
        <v>37</v>
      </c>
      <c r="B34" s="16">
        <v>4.1749999999999998</v>
      </c>
      <c r="D34">
        <v>9.7279999999999998</v>
      </c>
      <c r="F34" s="10">
        <v>13.903</v>
      </c>
      <c r="H34">
        <v>18.079000000000001</v>
      </c>
      <c r="J34">
        <v>20.876000000000001</v>
      </c>
      <c r="K34" s="21"/>
      <c r="N34" s="27">
        <v>4.1749999999999998</v>
      </c>
      <c r="O34" s="28">
        <v>4.1749999999999998</v>
      </c>
      <c r="R34" s="22">
        <v>13.903</v>
      </c>
      <c r="T34" s="10">
        <v>13.903</v>
      </c>
      <c r="V34" s="10">
        <v>13.903</v>
      </c>
      <c r="W34" s="21"/>
    </row>
    <row r="35" spans="1:23" x14ac:dyDescent="0.2">
      <c r="A35" s="20" t="s">
        <v>26</v>
      </c>
      <c r="B35" s="16">
        <v>4.1749999999999998</v>
      </c>
      <c r="D35">
        <v>9.7279999999999998</v>
      </c>
      <c r="F35" s="10">
        <v>13.903</v>
      </c>
      <c r="H35">
        <v>18.079000000000001</v>
      </c>
      <c r="J35">
        <v>20.876000000000001</v>
      </c>
      <c r="K35" s="21"/>
      <c r="N35" s="27">
        <v>4.1749999999999998</v>
      </c>
      <c r="O35" s="28">
        <v>4.1749999999999998</v>
      </c>
      <c r="R35" s="22">
        <v>13.903</v>
      </c>
      <c r="T35" s="10">
        <v>13.903</v>
      </c>
      <c r="V35" s="10">
        <v>13.903</v>
      </c>
      <c r="W35" s="21"/>
    </row>
    <row r="36" spans="1:23" x14ac:dyDescent="0.2">
      <c r="A36" s="20" t="s">
        <v>27</v>
      </c>
      <c r="B36" s="16">
        <v>4.1849999999999996</v>
      </c>
      <c r="D36">
        <v>9.7509999999999994</v>
      </c>
      <c r="F36" s="10">
        <v>13.936</v>
      </c>
      <c r="H36">
        <v>18.120999999999999</v>
      </c>
      <c r="J36">
        <v>20.925000000000001</v>
      </c>
      <c r="K36" s="21"/>
      <c r="N36" s="27">
        <v>4.1849999999999996</v>
      </c>
      <c r="O36" s="28">
        <v>4.1849999999999996</v>
      </c>
      <c r="R36" s="22">
        <v>13.936</v>
      </c>
      <c r="T36" s="10">
        <v>13.853999999999999</v>
      </c>
      <c r="V36" s="10">
        <v>14.064</v>
      </c>
      <c r="W36" s="21"/>
    </row>
    <row r="37" spans="1:23" x14ac:dyDescent="0.2">
      <c r="A37" s="20" t="s">
        <v>28</v>
      </c>
      <c r="B37" s="16">
        <v>7.5880000000000001</v>
      </c>
      <c r="D37">
        <v>17.68</v>
      </c>
      <c r="F37" s="10">
        <v>25.268000000000001</v>
      </c>
      <c r="H37">
        <v>32.856000000000002</v>
      </c>
      <c r="J37">
        <v>37.94</v>
      </c>
      <c r="K37" s="21"/>
      <c r="N37" s="27">
        <v>7.5880000000000001</v>
      </c>
      <c r="O37" s="28">
        <v>7.5880000000000001</v>
      </c>
      <c r="R37" s="22">
        <v>25.268000000000001</v>
      </c>
      <c r="T37" s="10">
        <v>14.239000000000001</v>
      </c>
      <c r="V37" s="10">
        <v>21.952000000000002</v>
      </c>
      <c r="W37" s="21"/>
    </row>
    <row r="38" spans="1:23" x14ac:dyDescent="0.2">
      <c r="A38" s="20" t="s">
        <v>29</v>
      </c>
      <c r="B38" s="16">
        <v>74.423000000000002</v>
      </c>
      <c r="D38">
        <v>173.405</v>
      </c>
      <c r="F38" s="10">
        <v>247.827</v>
      </c>
      <c r="H38">
        <v>322.25</v>
      </c>
      <c r="J38">
        <v>372.113</v>
      </c>
      <c r="K38" s="21"/>
      <c r="N38" s="27">
        <v>74.423000000000002</v>
      </c>
      <c r="O38" s="28">
        <v>74.423000000000002</v>
      </c>
      <c r="R38" s="22">
        <v>247.827</v>
      </c>
      <c r="T38" s="10">
        <v>54.121000000000002</v>
      </c>
      <c r="V38" s="10">
        <v>112.51900000000001</v>
      </c>
      <c r="W38" s="21"/>
    </row>
    <row r="39" spans="1:23" x14ac:dyDescent="0.2">
      <c r="A39" s="20" t="s">
        <v>30</v>
      </c>
      <c r="B39" s="16">
        <v>137.58799999999999</v>
      </c>
      <c r="D39">
        <v>320.58100000000002</v>
      </c>
      <c r="F39" s="10">
        <v>458.16899999999998</v>
      </c>
      <c r="H39">
        <v>595.75699999999995</v>
      </c>
      <c r="J39">
        <v>687.94100000000003</v>
      </c>
      <c r="K39" s="21"/>
      <c r="N39" s="27">
        <v>137.58799999999999</v>
      </c>
      <c r="O39" s="28">
        <v>137.58799999999999</v>
      </c>
      <c r="R39" s="22">
        <v>458.16899999999998</v>
      </c>
      <c r="T39" s="10">
        <v>506.40499999999997</v>
      </c>
      <c r="V39" s="10">
        <v>512.77700000000004</v>
      </c>
      <c r="W39" s="21"/>
    </row>
    <row r="40" spans="1:23" x14ac:dyDescent="0.2">
      <c r="A40" s="20" t="s">
        <v>31</v>
      </c>
      <c r="B40" s="16">
        <v>73.944000000000003</v>
      </c>
      <c r="D40">
        <v>172.28899999999999</v>
      </c>
      <c r="F40" s="10">
        <v>246.232</v>
      </c>
      <c r="H40">
        <v>320.17599999999999</v>
      </c>
      <c r="J40">
        <v>369.71800000000002</v>
      </c>
      <c r="K40" s="21"/>
      <c r="N40" s="27">
        <v>73.944000000000003</v>
      </c>
      <c r="O40" s="28">
        <v>73.944000000000003</v>
      </c>
      <c r="R40" s="22">
        <v>246.232</v>
      </c>
      <c r="T40" s="10">
        <v>516.25699999999995</v>
      </c>
      <c r="V40" s="10">
        <v>504.565</v>
      </c>
      <c r="W40" s="21"/>
    </row>
    <row r="41" spans="1:23" x14ac:dyDescent="0.2">
      <c r="A41" s="20" t="s">
        <v>32</v>
      </c>
      <c r="B41" s="16">
        <v>40.561999999999998</v>
      </c>
      <c r="D41">
        <v>94.51</v>
      </c>
      <c r="F41" s="10">
        <v>135.07300000000001</v>
      </c>
      <c r="H41">
        <v>175.63499999999999</v>
      </c>
      <c r="J41">
        <v>202.81200000000001</v>
      </c>
      <c r="K41" s="21"/>
      <c r="N41" s="27">
        <v>40.561999999999998</v>
      </c>
      <c r="O41" s="28">
        <v>40.561999999999998</v>
      </c>
      <c r="R41" s="22">
        <v>135.07300000000001</v>
      </c>
      <c r="T41" s="10">
        <v>316.041</v>
      </c>
      <c r="V41" s="10">
        <v>356.30200000000002</v>
      </c>
      <c r="W41" s="21"/>
    </row>
    <row r="42" spans="1:23" x14ac:dyDescent="0.2">
      <c r="A42" s="20" t="s">
        <v>33</v>
      </c>
      <c r="B42" s="16">
        <v>43.905000000000001</v>
      </c>
      <c r="D42">
        <v>102.29900000000001</v>
      </c>
      <c r="F42" s="10">
        <v>146.20400000000001</v>
      </c>
      <c r="H42">
        <v>190.10900000000001</v>
      </c>
      <c r="J42">
        <v>219.52600000000001</v>
      </c>
      <c r="K42" s="21"/>
      <c r="N42" s="27">
        <v>43.905000000000001</v>
      </c>
      <c r="O42" s="28">
        <v>43.905000000000001</v>
      </c>
      <c r="R42" s="22">
        <v>146.20400000000001</v>
      </c>
      <c r="T42" s="10">
        <v>235.45</v>
      </c>
      <c r="V42" s="10">
        <v>168.31399999999999</v>
      </c>
      <c r="W42" s="21"/>
    </row>
    <row r="43" spans="1:23" x14ac:dyDescent="0.2">
      <c r="A43" s="20" t="s">
        <v>34</v>
      </c>
      <c r="B43" s="16">
        <v>51.558999999999997</v>
      </c>
      <c r="D43">
        <v>120.13200000000001</v>
      </c>
      <c r="F43" s="10">
        <v>171.691</v>
      </c>
      <c r="H43">
        <v>223.249</v>
      </c>
      <c r="J43">
        <v>257.79399999999998</v>
      </c>
      <c r="K43" s="21"/>
      <c r="N43" s="27">
        <v>51.558999999999997</v>
      </c>
      <c r="O43" s="28">
        <v>51.558999999999997</v>
      </c>
      <c r="R43" s="22">
        <v>171.691</v>
      </c>
      <c r="T43" s="10">
        <v>194.26</v>
      </c>
      <c r="V43" s="10">
        <v>191.42400000000001</v>
      </c>
      <c r="W43" s="21"/>
    </row>
    <row r="44" spans="1:23" x14ac:dyDescent="0.2">
      <c r="A44" s="20" t="s">
        <v>35</v>
      </c>
      <c r="B44" s="16">
        <v>45.530999999999999</v>
      </c>
      <c r="D44">
        <v>106.087</v>
      </c>
      <c r="F44" s="10">
        <v>151.61699999999999</v>
      </c>
      <c r="H44">
        <v>197.148</v>
      </c>
      <c r="J44">
        <v>227.654</v>
      </c>
      <c r="K44" s="21"/>
      <c r="N44" s="27">
        <v>45.530999999999999</v>
      </c>
      <c r="O44" s="28">
        <v>45.530999999999999</v>
      </c>
      <c r="R44" s="22">
        <v>151.61699999999999</v>
      </c>
      <c r="T44" s="10">
        <v>120.486</v>
      </c>
      <c r="V44" s="10">
        <v>175.72499999999999</v>
      </c>
      <c r="W44" s="21"/>
    </row>
    <row r="45" spans="1:23" x14ac:dyDescent="0.2">
      <c r="A45" s="20" t="s">
        <v>36</v>
      </c>
      <c r="B45" s="16">
        <v>6.7850000000000001</v>
      </c>
      <c r="D45">
        <v>15.81</v>
      </c>
      <c r="F45" s="10">
        <v>22.594999999999999</v>
      </c>
      <c r="H45">
        <v>29.381</v>
      </c>
      <c r="J45">
        <v>33.927</v>
      </c>
      <c r="K45" s="21"/>
      <c r="N45" s="27">
        <v>6.7850000000000001</v>
      </c>
      <c r="O45" s="28">
        <v>6.7850000000000001</v>
      </c>
      <c r="R45" s="22">
        <v>22.594999999999999</v>
      </c>
      <c r="T45" s="10">
        <v>14.476000000000001</v>
      </c>
      <c r="V45" s="10">
        <v>15.352</v>
      </c>
      <c r="W45" s="21"/>
    </row>
    <row r="46" spans="1:23" x14ac:dyDescent="0.2">
      <c r="A46" s="20" t="s">
        <v>37</v>
      </c>
      <c r="B46" s="16">
        <v>4.1749999999999998</v>
      </c>
      <c r="D46">
        <v>9.7279999999999998</v>
      </c>
      <c r="F46" s="10">
        <v>13.903</v>
      </c>
      <c r="H46">
        <v>18.079000000000001</v>
      </c>
      <c r="J46">
        <v>20.876000000000001</v>
      </c>
      <c r="K46" s="21"/>
      <c r="N46" s="27">
        <v>4.1749999999999998</v>
      </c>
      <c r="O46" s="28">
        <v>4.1749999999999998</v>
      </c>
      <c r="R46" s="22">
        <v>13.903</v>
      </c>
      <c r="T46" s="10">
        <v>13.903</v>
      </c>
      <c r="V46" s="10">
        <v>13.903</v>
      </c>
      <c r="W46" s="21"/>
    </row>
    <row r="47" spans="1:23" x14ac:dyDescent="0.2">
      <c r="A47" s="20" t="s">
        <v>26</v>
      </c>
      <c r="B47" s="16">
        <v>4.1749999999999998</v>
      </c>
      <c r="D47">
        <v>9.7279999999999998</v>
      </c>
      <c r="F47" s="10">
        <v>13.903</v>
      </c>
      <c r="H47">
        <v>18.079000000000001</v>
      </c>
      <c r="J47">
        <v>20.876000000000001</v>
      </c>
      <c r="K47" s="21"/>
      <c r="N47" s="27">
        <v>4.1749999999999998</v>
      </c>
      <c r="O47" s="28">
        <v>4.1749999999999998</v>
      </c>
      <c r="R47" s="22">
        <v>13.903</v>
      </c>
      <c r="T47" s="10">
        <v>13.903</v>
      </c>
      <c r="V47" s="10">
        <v>13.903</v>
      </c>
      <c r="W47" s="21"/>
    </row>
    <row r="48" spans="1:23" x14ac:dyDescent="0.2">
      <c r="A48" s="20" t="s">
        <v>27</v>
      </c>
      <c r="B48" s="16">
        <v>4.16</v>
      </c>
      <c r="D48">
        <v>9.6929999999999996</v>
      </c>
      <c r="F48" s="10">
        <v>13.853999999999999</v>
      </c>
      <c r="H48">
        <v>18.013999999999999</v>
      </c>
      <c r="J48">
        <v>20.800999999999998</v>
      </c>
      <c r="K48" s="21"/>
      <c r="N48" s="27">
        <v>4.16</v>
      </c>
      <c r="O48" s="28">
        <v>4.16</v>
      </c>
      <c r="R48" s="22">
        <v>13.853999999999999</v>
      </c>
      <c r="T48" s="10">
        <v>13.853999999999999</v>
      </c>
      <c r="V48" s="10">
        <v>13.853999999999999</v>
      </c>
      <c r="W48" s="21"/>
    </row>
    <row r="49" spans="1:23" x14ac:dyDescent="0.2">
      <c r="A49" s="20" t="s">
        <v>28</v>
      </c>
      <c r="B49" s="16">
        <v>5.3789999999999996</v>
      </c>
      <c r="D49">
        <v>12.532999999999999</v>
      </c>
      <c r="F49" s="10">
        <v>17.911999999999999</v>
      </c>
      <c r="H49">
        <v>23.291</v>
      </c>
      <c r="J49">
        <v>26.895</v>
      </c>
      <c r="K49" s="21"/>
      <c r="N49" s="27">
        <v>5.3789999999999996</v>
      </c>
      <c r="O49" s="28">
        <v>5.3789999999999996</v>
      </c>
      <c r="R49" s="22">
        <v>17.911999999999999</v>
      </c>
      <c r="T49" s="10">
        <v>13.941000000000001</v>
      </c>
      <c r="V49" s="10">
        <v>14.247999999999999</v>
      </c>
      <c r="W49" s="21"/>
    </row>
    <row r="50" spans="1:23" x14ac:dyDescent="0.2">
      <c r="A50" s="20" t="s">
        <v>29</v>
      </c>
      <c r="B50" s="16">
        <v>52.39</v>
      </c>
      <c r="D50">
        <v>122.068</v>
      </c>
      <c r="F50" s="10">
        <v>174.45699999999999</v>
      </c>
      <c r="H50">
        <v>226.84700000000001</v>
      </c>
      <c r="J50">
        <v>261.94799999999998</v>
      </c>
      <c r="K50" s="21"/>
      <c r="N50" s="27">
        <v>52.39</v>
      </c>
      <c r="O50" s="28">
        <v>52.39</v>
      </c>
      <c r="R50" s="22">
        <v>174.45699999999999</v>
      </c>
      <c r="T50" s="10">
        <v>36.61</v>
      </c>
      <c r="V50" s="10">
        <v>58.877000000000002</v>
      </c>
      <c r="W50" s="21"/>
    </row>
    <row r="51" spans="1:23" x14ac:dyDescent="0.2">
      <c r="A51" s="20" t="s">
        <v>30</v>
      </c>
      <c r="B51" s="16">
        <v>152.00200000000001</v>
      </c>
      <c r="D51">
        <v>354.16399999999999</v>
      </c>
      <c r="F51" s="10">
        <v>506.166</v>
      </c>
      <c r="H51">
        <v>658.16800000000001</v>
      </c>
      <c r="J51">
        <v>760.00900000000001</v>
      </c>
      <c r="K51" s="21"/>
      <c r="N51" s="27">
        <v>152.00200000000001</v>
      </c>
      <c r="O51" s="28">
        <v>152.00200000000001</v>
      </c>
      <c r="R51" s="22">
        <v>506.166</v>
      </c>
      <c r="T51" s="10">
        <v>454.904</v>
      </c>
      <c r="V51" s="10">
        <v>428.101</v>
      </c>
      <c r="W51" s="21"/>
    </row>
    <row r="52" spans="1:23" x14ac:dyDescent="0.2">
      <c r="A52" s="20" t="s">
        <v>31</v>
      </c>
      <c r="B52" s="16">
        <v>101.258</v>
      </c>
      <c r="D52">
        <v>235.93199999999999</v>
      </c>
      <c r="F52" s="10">
        <v>337.19099999999997</v>
      </c>
      <c r="H52">
        <v>438.44900000000001</v>
      </c>
      <c r="J52">
        <v>506.29199999999997</v>
      </c>
      <c r="K52" s="21"/>
      <c r="N52" s="27">
        <v>101.258</v>
      </c>
      <c r="O52" s="28">
        <v>101.258</v>
      </c>
      <c r="R52" s="22">
        <v>337.19099999999997</v>
      </c>
      <c r="T52" s="10">
        <v>603.80899999999997</v>
      </c>
      <c r="V52" s="10">
        <v>697.93700000000001</v>
      </c>
      <c r="W52" s="21"/>
    </row>
    <row r="53" spans="1:23" x14ac:dyDescent="0.2">
      <c r="A53" s="20" t="s">
        <v>32</v>
      </c>
      <c r="B53" s="16">
        <v>53.433999999999997</v>
      </c>
      <c r="D53">
        <v>124.501</v>
      </c>
      <c r="F53" s="10">
        <v>177.935</v>
      </c>
      <c r="H53">
        <v>231.369</v>
      </c>
      <c r="J53">
        <v>267.17</v>
      </c>
      <c r="K53" s="21"/>
      <c r="N53" s="27">
        <v>53.433999999999997</v>
      </c>
      <c r="O53" s="28">
        <v>53.433999999999997</v>
      </c>
      <c r="R53" s="22">
        <v>177.935</v>
      </c>
      <c r="T53" s="10">
        <v>413.863</v>
      </c>
      <c r="V53" s="10">
        <v>407.952</v>
      </c>
      <c r="W53" s="21"/>
    </row>
    <row r="54" spans="1:23" x14ac:dyDescent="0.2">
      <c r="A54" s="20" t="s">
        <v>33</v>
      </c>
      <c r="B54" s="16">
        <v>50.057000000000002</v>
      </c>
      <c r="D54">
        <v>116.633</v>
      </c>
      <c r="F54" s="10">
        <v>166.69</v>
      </c>
      <c r="H54">
        <v>216.74600000000001</v>
      </c>
      <c r="J54">
        <v>250.285</v>
      </c>
      <c r="K54" s="21"/>
      <c r="N54" s="27">
        <v>50.057000000000002</v>
      </c>
      <c r="O54" s="28">
        <v>50.057000000000002</v>
      </c>
      <c r="R54" s="22">
        <v>166.69</v>
      </c>
      <c r="T54" s="10">
        <v>256.49099999999999</v>
      </c>
      <c r="V54" s="10">
        <v>235.548</v>
      </c>
      <c r="W54" s="21"/>
    </row>
    <row r="55" spans="1:23" x14ac:dyDescent="0.2">
      <c r="A55" s="20" t="s">
        <v>34</v>
      </c>
      <c r="B55" s="16">
        <v>64.468000000000004</v>
      </c>
      <c r="D55">
        <v>150.21</v>
      </c>
      <c r="F55" s="10">
        <v>214.678</v>
      </c>
      <c r="H55">
        <v>279.14600000000002</v>
      </c>
      <c r="J55">
        <v>322.339</v>
      </c>
      <c r="K55" s="21"/>
      <c r="N55" s="27">
        <v>64.468000000000004</v>
      </c>
      <c r="O55" s="28">
        <v>64.468000000000004</v>
      </c>
      <c r="R55" s="22">
        <v>214.678</v>
      </c>
      <c r="T55" s="10">
        <v>206.28800000000001</v>
      </c>
      <c r="V55" s="10">
        <v>243.61799999999999</v>
      </c>
      <c r="W55" s="21"/>
    </row>
    <row r="56" spans="1:23" x14ac:dyDescent="0.2">
      <c r="A56" s="20" t="s">
        <v>35</v>
      </c>
      <c r="B56" s="16">
        <v>43.552999999999997</v>
      </c>
      <c r="D56">
        <v>101.47799999999999</v>
      </c>
      <c r="F56" s="10">
        <v>145.03100000000001</v>
      </c>
      <c r="H56">
        <v>188.584</v>
      </c>
      <c r="J56">
        <v>217.76499999999999</v>
      </c>
      <c r="K56" s="21"/>
      <c r="N56" s="27">
        <v>43.552999999999997</v>
      </c>
      <c r="O56" s="28">
        <v>43.552999999999997</v>
      </c>
      <c r="R56" s="22">
        <v>145.03100000000001</v>
      </c>
      <c r="T56" s="10">
        <v>164.16800000000001</v>
      </c>
      <c r="V56" s="10">
        <v>116.47799999999999</v>
      </c>
      <c r="W56" s="21"/>
    </row>
    <row r="57" spans="1:23" x14ac:dyDescent="0.2">
      <c r="A57" s="20" t="s">
        <v>36</v>
      </c>
      <c r="B57" s="16">
        <v>4.1710000000000003</v>
      </c>
      <c r="D57">
        <v>9.718</v>
      </c>
      <c r="F57" s="10">
        <v>13.888999999999999</v>
      </c>
      <c r="H57">
        <v>18.059000000000001</v>
      </c>
      <c r="J57">
        <v>20.853999999999999</v>
      </c>
      <c r="K57" s="21"/>
      <c r="N57" s="27">
        <v>4.1710000000000003</v>
      </c>
      <c r="O57" s="28">
        <v>4.1710000000000003</v>
      </c>
      <c r="R57" s="22">
        <v>13.888999999999999</v>
      </c>
      <c r="T57" s="10">
        <v>15.000999999999999</v>
      </c>
      <c r="V57" s="10">
        <v>18.158000000000001</v>
      </c>
      <c r="W57" s="21"/>
    </row>
    <row r="58" spans="1:23" x14ac:dyDescent="0.2">
      <c r="A58" s="20" t="s">
        <v>37</v>
      </c>
      <c r="B58" s="16">
        <v>4.1749999999999998</v>
      </c>
      <c r="D58">
        <v>9.7279999999999998</v>
      </c>
      <c r="F58" s="10">
        <v>13.903</v>
      </c>
      <c r="H58">
        <v>18.079000000000001</v>
      </c>
      <c r="J58">
        <v>20.876000000000001</v>
      </c>
      <c r="K58" s="21"/>
      <c r="N58" s="27">
        <v>4.1749999999999998</v>
      </c>
      <c r="O58" s="28">
        <v>4.1749999999999998</v>
      </c>
      <c r="R58" s="22">
        <v>13.903</v>
      </c>
      <c r="T58" s="10">
        <v>13.904999999999999</v>
      </c>
      <c r="V58" s="10">
        <v>13.903</v>
      </c>
      <c r="W58" s="21"/>
    </row>
    <row r="59" spans="1:23" x14ac:dyDescent="0.2">
      <c r="A59" s="20" t="s">
        <v>26</v>
      </c>
      <c r="B59" s="16">
        <v>4.1749999999999998</v>
      </c>
      <c r="D59">
        <v>9.7279999999999998</v>
      </c>
      <c r="F59" s="10">
        <v>13.903</v>
      </c>
      <c r="H59">
        <v>18.079000000000001</v>
      </c>
      <c r="J59">
        <v>20.876000000000001</v>
      </c>
      <c r="K59" s="21"/>
      <c r="N59" s="27">
        <v>4.1749999999999998</v>
      </c>
      <c r="O59" s="28">
        <v>4.1749999999999998</v>
      </c>
      <c r="R59" s="22">
        <v>13.903</v>
      </c>
      <c r="T59" s="10">
        <v>13.903</v>
      </c>
      <c r="V59" s="10">
        <v>13.903</v>
      </c>
      <c r="W59" s="21"/>
    </row>
    <row r="60" spans="1:23" x14ac:dyDescent="0.2">
      <c r="A60" s="20" t="s">
        <v>27</v>
      </c>
      <c r="B60" s="16">
        <v>4.16</v>
      </c>
      <c r="D60">
        <v>9.6929999999999996</v>
      </c>
      <c r="F60" s="10">
        <v>13.853999999999999</v>
      </c>
      <c r="H60">
        <v>18.013999999999999</v>
      </c>
      <c r="J60">
        <v>20.800999999999998</v>
      </c>
      <c r="K60" s="21"/>
      <c r="N60" s="27">
        <v>4.16</v>
      </c>
      <c r="O60" s="28">
        <v>4.16</v>
      </c>
      <c r="R60" s="22">
        <v>13.853999999999999</v>
      </c>
      <c r="T60" s="10">
        <v>13.853999999999999</v>
      </c>
      <c r="V60" s="10">
        <v>13.853999999999999</v>
      </c>
      <c r="W60" s="21"/>
    </row>
    <row r="61" spans="1:23" x14ac:dyDescent="0.2">
      <c r="A61" s="20" t="s">
        <v>28</v>
      </c>
      <c r="B61" s="16">
        <v>4.1980000000000004</v>
      </c>
      <c r="D61">
        <v>9.7810000000000006</v>
      </c>
      <c r="F61" s="10">
        <v>13.978</v>
      </c>
      <c r="H61">
        <v>18.175999999999998</v>
      </c>
      <c r="J61">
        <v>20.988</v>
      </c>
      <c r="K61" s="21"/>
      <c r="N61" s="27">
        <v>4.1980000000000004</v>
      </c>
      <c r="O61" s="28">
        <v>4.1980000000000004</v>
      </c>
      <c r="R61" s="22">
        <v>13.978</v>
      </c>
      <c r="T61" s="10">
        <v>13.903</v>
      </c>
      <c r="V61" s="10">
        <v>13.903</v>
      </c>
      <c r="W61" s="21"/>
    </row>
    <row r="62" spans="1:23" x14ac:dyDescent="0.2">
      <c r="A62" s="20" t="s">
        <v>29</v>
      </c>
      <c r="B62" s="16">
        <v>15.504</v>
      </c>
      <c r="D62">
        <v>36.124000000000002</v>
      </c>
      <c r="F62" s="10">
        <v>51.627000000000002</v>
      </c>
      <c r="H62">
        <v>67.131</v>
      </c>
      <c r="J62">
        <v>77.518000000000001</v>
      </c>
      <c r="K62" s="21"/>
      <c r="N62" s="27">
        <v>15.504</v>
      </c>
      <c r="O62" s="28">
        <v>15.504</v>
      </c>
      <c r="R62" s="22">
        <v>51.627000000000002</v>
      </c>
      <c r="T62" s="10">
        <v>18.231999999999999</v>
      </c>
      <c r="V62" s="10">
        <v>16.21</v>
      </c>
      <c r="W62" s="21"/>
    </row>
    <row r="63" spans="1:23" x14ac:dyDescent="0.2">
      <c r="A63" s="20" t="s">
        <v>30</v>
      </c>
      <c r="B63" s="16">
        <v>111.48099999999999</v>
      </c>
      <c r="D63">
        <v>259.75200000000001</v>
      </c>
      <c r="F63" s="10">
        <v>371.233</v>
      </c>
      <c r="H63">
        <v>482.71499999999997</v>
      </c>
      <c r="J63">
        <v>557.40800000000002</v>
      </c>
      <c r="K63" s="21"/>
      <c r="N63" s="27">
        <v>111.48099999999999</v>
      </c>
      <c r="O63" s="28">
        <v>111.48099999999999</v>
      </c>
      <c r="R63" s="22">
        <v>371.233</v>
      </c>
      <c r="T63" s="10">
        <v>231.18299999999999</v>
      </c>
      <c r="V63" s="10">
        <v>128.93299999999999</v>
      </c>
      <c r="W63" s="21"/>
    </row>
    <row r="64" spans="1:23" x14ac:dyDescent="0.2">
      <c r="A64" s="20" t="s">
        <v>31</v>
      </c>
      <c r="B64" s="16">
        <v>134.54400000000001</v>
      </c>
      <c r="D64">
        <v>313.488</v>
      </c>
      <c r="F64" s="10">
        <v>448.03300000000002</v>
      </c>
      <c r="H64">
        <v>582.577</v>
      </c>
      <c r="J64">
        <v>672.721</v>
      </c>
      <c r="K64" s="21"/>
      <c r="N64" s="27">
        <v>134.54400000000001</v>
      </c>
      <c r="O64" s="28">
        <v>134.54400000000001</v>
      </c>
      <c r="R64" s="22">
        <v>448.03300000000002</v>
      </c>
      <c r="T64" s="10">
        <v>412.70600000000002</v>
      </c>
      <c r="V64" s="10">
        <v>525.89300000000003</v>
      </c>
      <c r="W64" s="21"/>
    </row>
    <row r="65" spans="1:23" x14ac:dyDescent="0.2">
      <c r="A65" s="20" t="s">
        <v>32</v>
      </c>
      <c r="B65" s="16">
        <v>67.777000000000001</v>
      </c>
      <c r="D65">
        <v>157.91999999999999</v>
      </c>
      <c r="F65" s="10">
        <v>225.697</v>
      </c>
      <c r="H65">
        <v>293.47300000000001</v>
      </c>
      <c r="J65">
        <v>338.88400000000001</v>
      </c>
      <c r="K65" s="21"/>
      <c r="N65" s="27">
        <v>67.777000000000001</v>
      </c>
      <c r="O65" s="28">
        <v>67.777000000000001</v>
      </c>
      <c r="R65" s="22">
        <v>225.697</v>
      </c>
      <c r="T65" s="10">
        <v>489.62700000000001</v>
      </c>
      <c r="V65" s="10">
        <v>571.15899999999999</v>
      </c>
      <c r="W65" s="21"/>
    </row>
    <row r="66" spans="1:23" x14ac:dyDescent="0.2">
      <c r="A66" s="20" t="s">
        <v>33</v>
      </c>
      <c r="B66" s="16">
        <v>43.14</v>
      </c>
      <c r="D66">
        <v>100.51600000000001</v>
      </c>
      <c r="F66" s="10">
        <v>143.655</v>
      </c>
      <c r="H66">
        <v>186.79499999999999</v>
      </c>
      <c r="J66">
        <v>215.69900000000001</v>
      </c>
      <c r="K66" s="21"/>
      <c r="N66" s="27">
        <v>43.14</v>
      </c>
      <c r="O66" s="28">
        <v>43.14</v>
      </c>
      <c r="R66" s="22">
        <v>143.655</v>
      </c>
      <c r="T66" s="10">
        <v>373.74</v>
      </c>
      <c r="V66" s="10">
        <v>398.65199999999999</v>
      </c>
      <c r="W66" s="21"/>
    </row>
    <row r="67" spans="1:23" x14ac:dyDescent="0.2">
      <c r="A67" s="20" t="s">
        <v>34</v>
      </c>
      <c r="B67" s="16">
        <v>43.951000000000001</v>
      </c>
      <c r="D67">
        <v>102.407</v>
      </c>
      <c r="F67" s="10">
        <v>146.358</v>
      </c>
      <c r="H67">
        <v>190.309</v>
      </c>
      <c r="J67">
        <v>219.75700000000001</v>
      </c>
      <c r="K67" s="21"/>
      <c r="N67" s="27">
        <v>43.951000000000001</v>
      </c>
      <c r="O67" s="28">
        <v>43.951000000000001</v>
      </c>
      <c r="R67" s="22">
        <v>146.358</v>
      </c>
      <c r="T67" s="10">
        <v>124.887</v>
      </c>
      <c r="V67" s="10">
        <v>130.73699999999999</v>
      </c>
      <c r="W67" s="21"/>
    </row>
    <row r="68" spans="1:23" x14ac:dyDescent="0.2">
      <c r="A68" s="20" t="s">
        <v>35</v>
      </c>
      <c r="B68" s="16">
        <v>14.228</v>
      </c>
      <c r="D68">
        <v>33.152000000000001</v>
      </c>
      <c r="F68" s="10">
        <v>47.381</v>
      </c>
      <c r="H68">
        <v>61.609000000000002</v>
      </c>
      <c r="J68">
        <v>71.141999999999996</v>
      </c>
      <c r="K68" s="21"/>
      <c r="N68" s="27">
        <v>14.228</v>
      </c>
      <c r="O68" s="28">
        <v>14.228</v>
      </c>
      <c r="R68" s="22">
        <v>47.381</v>
      </c>
      <c r="T68" s="10">
        <v>35.234999999999999</v>
      </c>
      <c r="V68" s="10">
        <v>29.471</v>
      </c>
      <c r="W68" s="21"/>
    </row>
    <row r="69" spans="1:23" x14ac:dyDescent="0.2">
      <c r="A69" s="20" t="s">
        <v>36</v>
      </c>
      <c r="B69" s="16">
        <v>5.4240000000000004</v>
      </c>
      <c r="D69">
        <v>12.638999999999999</v>
      </c>
      <c r="F69" s="10">
        <v>18.062999999999999</v>
      </c>
      <c r="H69">
        <v>23.486999999999998</v>
      </c>
      <c r="J69">
        <v>27.122</v>
      </c>
      <c r="K69" s="21"/>
      <c r="N69" s="27">
        <v>5.4240000000000004</v>
      </c>
      <c r="O69" s="28">
        <v>5.4240000000000004</v>
      </c>
      <c r="R69" s="22">
        <v>18.062999999999999</v>
      </c>
      <c r="T69" s="10">
        <v>16.074000000000002</v>
      </c>
      <c r="V69" s="10">
        <v>14.808</v>
      </c>
      <c r="W69" s="21"/>
    </row>
    <row r="70" spans="1:23" x14ac:dyDescent="0.2">
      <c r="A70" s="20" t="s">
        <v>37</v>
      </c>
      <c r="B70" s="16">
        <v>4.1749999999999998</v>
      </c>
      <c r="D70">
        <v>9.7279999999999998</v>
      </c>
      <c r="F70" s="10">
        <v>13.903</v>
      </c>
      <c r="H70">
        <v>18.079000000000001</v>
      </c>
      <c r="J70">
        <v>20.876000000000001</v>
      </c>
      <c r="K70" s="21"/>
      <c r="N70" s="27">
        <v>4.1749999999999998</v>
      </c>
      <c r="O70" s="28">
        <v>4.1749999999999998</v>
      </c>
      <c r="R70" s="22">
        <v>13.903</v>
      </c>
      <c r="T70" s="10">
        <v>13.903</v>
      </c>
      <c r="V70" s="10">
        <v>13.903</v>
      </c>
      <c r="W70" s="21"/>
    </row>
    <row r="71" spans="1:23" x14ac:dyDescent="0.2">
      <c r="A71" s="20" t="s">
        <v>26</v>
      </c>
      <c r="B71" s="16">
        <v>4.1749999999999998</v>
      </c>
      <c r="D71">
        <v>9.7279999999999998</v>
      </c>
      <c r="F71" s="10">
        <v>13.903</v>
      </c>
      <c r="H71">
        <v>18.079000000000001</v>
      </c>
      <c r="J71">
        <v>20.876000000000001</v>
      </c>
      <c r="K71" s="21"/>
      <c r="N71" s="27">
        <v>4.1749999999999998</v>
      </c>
      <c r="O71" s="28">
        <v>4.1749999999999998</v>
      </c>
      <c r="R71" s="22">
        <v>13.903</v>
      </c>
      <c r="T71" s="10">
        <v>13.903</v>
      </c>
      <c r="V71" s="10">
        <v>13.903</v>
      </c>
      <c r="W71" s="21"/>
    </row>
    <row r="72" spans="1:23" x14ac:dyDescent="0.2">
      <c r="A72" s="20" t="s">
        <v>27</v>
      </c>
      <c r="B72" s="16">
        <v>4.165</v>
      </c>
      <c r="D72">
        <v>9.7050000000000001</v>
      </c>
      <c r="F72" s="10">
        <v>13.87</v>
      </c>
      <c r="H72">
        <v>18.035</v>
      </c>
      <c r="J72">
        <v>20.824999999999999</v>
      </c>
      <c r="K72" s="21"/>
      <c r="N72" s="27">
        <v>4.165</v>
      </c>
      <c r="O72" s="28">
        <v>4.165</v>
      </c>
      <c r="R72" s="22">
        <v>13.87</v>
      </c>
      <c r="T72" s="10">
        <v>13.853999999999999</v>
      </c>
      <c r="V72" s="10">
        <v>13.853999999999999</v>
      </c>
      <c r="W72" s="21"/>
    </row>
    <row r="73" spans="1:23" x14ac:dyDescent="0.2">
      <c r="A73" s="20" t="s">
        <v>28</v>
      </c>
      <c r="B73" s="16">
        <v>4.6369999999999996</v>
      </c>
      <c r="D73">
        <v>10.804</v>
      </c>
      <c r="F73" s="10">
        <v>15.441000000000001</v>
      </c>
      <c r="H73">
        <v>20.077999999999999</v>
      </c>
      <c r="J73">
        <v>23.184999999999999</v>
      </c>
      <c r="K73" s="21"/>
      <c r="N73" s="27">
        <v>4.6369999999999996</v>
      </c>
      <c r="O73" s="28">
        <v>4.6369999999999996</v>
      </c>
      <c r="R73" s="22">
        <v>15.441000000000001</v>
      </c>
      <c r="T73" s="10">
        <v>13.930999999999999</v>
      </c>
      <c r="V73" s="10">
        <v>13.952999999999999</v>
      </c>
      <c r="W73" s="21"/>
    </row>
    <row r="74" spans="1:23" x14ac:dyDescent="0.2">
      <c r="A74" s="20" t="s">
        <v>29</v>
      </c>
      <c r="B74" s="16">
        <v>40.249000000000002</v>
      </c>
      <c r="D74">
        <v>93.78</v>
      </c>
      <c r="F74" s="10">
        <v>134.029</v>
      </c>
      <c r="H74">
        <v>174.27799999999999</v>
      </c>
      <c r="J74">
        <v>201.245</v>
      </c>
      <c r="K74" s="21"/>
      <c r="N74" s="27">
        <v>40.249000000000002</v>
      </c>
      <c r="O74" s="28">
        <v>40.249000000000002</v>
      </c>
      <c r="R74" s="22">
        <v>134.029</v>
      </c>
      <c r="T74" s="10">
        <v>28.853999999999999</v>
      </c>
      <c r="V74" s="10">
        <v>37.420999999999999</v>
      </c>
      <c r="W74" s="21"/>
    </row>
    <row r="75" spans="1:23" x14ac:dyDescent="0.2">
      <c r="A75" s="20" t="s">
        <v>30</v>
      </c>
      <c r="B75" s="16">
        <v>144.495</v>
      </c>
      <c r="D75">
        <v>336.67399999999998</v>
      </c>
      <c r="F75" s="10">
        <v>481.16899999999998</v>
      </c>
      <c r="H75">
        <v>625.66399999999999</v>
      </c>
      <c r="J75">
        <v>722.476</v>
      </c>
      <c r="K75" s="21"/>
      <c r="N75" s="27">
        <v>144.495</v>
      </c>
      <c r="O75" s="28">
        <v>144.495</v>
      </c>
      <c r="R75" s="22">
        <v>481.16899999999998</v>
      </c>
      <c r="T75" s="10">
        <v>370.69799999999998</v>
      </c>
      <c r="V75" s="10">
        <v>313.78899999999999</v>
      </c>
      <c r="W75" s="21"/>
    </row>
    <row r="76" spans="1:23" x14ac:dyDescent="0.2">
      <c r="A76" s="20" t="s">
        <v>31</v>
      </c>
      <c r="B76" s="16">
        <v>127.748</v>
      </c>
      <c r="D76">
        <v>297.654</v>
      </c>
      <c r="F76" s="10">
        <v>425.40199999999999</v>
      </c>
      <c r="H76">
        <v>553.15</v>
      </c>
      <c r="J76">
        <v>638.74199999999996</v>
      </c>
      <c r="K76" s="21"/>
      <c r="N76" s="27">
        <v>127.748</v>
      </c>
      <c r="O76" s="28">
        <v>127.748</v>
      </c>
      <c r="R76" s="22">
        <v>425.40199999999999</v>
      </c>
      <c r="T76" s="10">
        <v>547.23299999999995</v>
      </c>
      <c r="V76" s="10">
        <v>708.18399999999997</v>
      </c>
      <c r="W76" s="21"/>
    </row>
    <row r="77" spans="1:23" x14ac:dyDescent="0.2">
      <c r="A77" s="20" t="s">
        <v>32</v>
      </c>
      <c r="B77" s="16">
        <v>53.572000000000003</v>
      </c>
      <c r="D77">
        <v>124.82299999999999</v>
      </c>
      <c r="F77" s="10">
        <v>178.39599999999999</v>
      </c>
      <c r="H77">
        <v>231.96799999999999</v>
      </c>
      <c r="J77">
        <v>267.86099999999999</v>
      </c>
      <c r="K77" s="21"/>
      <c r="N77" s="27">
        <v>53.572000000000003</v>
      </c>
      <c r="O77" s="28">
        <v>53.572000000000003</v>
      </c>
      <c r="R77" s="22">
        <v>178.39599999999999</v>
      </c>
      <c r="T77" s="10">
        <v>492.63</v>
      </c>
      <c r="V77" s="10">
        <v>547.71</v>
      </c>
      <c r="W77" s="21"/>
    </row>
    <row r="78" spans="1:23" x14ac:dyDescent="0.2">
      <c r="A78" s="20" t="s">
        <v>33</v>
      </c>
      <c r="B78" s="16">
        <v>55.42</v>
      </c>
      <c r="D78">
        <v>129.12799999999999</v>
      </c>
      <c r="F78" s="10">
        <v>184.548</v>
      </c>
      <c r="H78">
        <v>239.96799999999999</v>
      </c>
      <c r="J78">
        <v>277.09899999999999</v>
      </c>
      <c r="K78" s="21"/>
      <c r="N78" s="27">
        <v>55.42</v>
      </c>
      <c r="O78" s="28">
        <v>55.42</v>
      </c>
      <c r="R78" s="22">
        <v>184.548</v>
      </c>
      <c r="T78" s="10">
        <v>399.32</v>
      </c>
      <c r="V78" s="10">
        <v>340.79700000000003</v>
      </c>
      <c r="W78" s="21"/>
    </row>
    <row r="79" spans="1:23" x14ac:dyDescent="0.2">
      <c r="A79" s="20" t="s">
        <v>34</v>
      </c>
      <c r="B79" s="16">
        <v>56.235999999999997</v>
      </c>
      <c r="D79">
        <v>131.03100000000001</v>
      </c>
      <c r="F79" s="10">
        <v>187.267</v>
      </c>
      <c r="H79">
        <v>243.50299999999999</v>
      </c>
      <c r="J79">
        <v>281.18099999999998</v>
      </c>
      <c r="K79" s="21"/>
      <c r="N79" s="27">
        <v>56.235999999999997</v>
      </c>
      <c r="O79" s="28">
        <v>56.235999999999997</v>
      </c>
      <c r="R79" s="22">
        <v>187.267</v>
      </c>
      <c r="T79" s="10">
        <v>210.626</v>
      </c>
      <c r="V79" s="10">
        <v>203.8</v>
      </c>
      <c r="W79" s="21"/>
    </row>
    <row r="80" spans="1:23" x14ac:dyDescent="0.2">
      <c r="A80" s="20" t="s">
        <v>35</v>
      </c>
      <c r="B80" s="16">
        <v>42.04</v>
      </c>
      <c r="D80">
        <v>97.953000000000003</v>
      </c>
      <c r="F80" s="10">
        <v>139.99199999999999</v>
      </c>
      <c r="H80">
        <v>182.03200000000001</v>
      </c>
      <c r="J80">
        <v>210.19900000000001</v>
      </c>
      <c r="K80" s="21"/>
      <c r="N80" s="27">
        <v>42.04</v>
      </c>
      <c r="O80" s="28">
        <v>42.04</v>
      </c>
      <c r="R80" s="22">
        <v>139.99199999999999</v>
      </c>
      <c r="T80" s="10">
        <v>88.28</v>
      </c>
      <c r="V80" s="10">
        <v>94.631</v>
      </c>
      <c r="W80" s="21"/>
    </row>
    <row r="81" spans="1:23" x14ac:dyDescent="0.2">
      <c r="A81" s="20" t="s">
        <v>36</v>
      </c>
      <c r="B81" s="16">
        <v>4.9729999999999999</v>
      </c>
      <c r="D81">
        <v>11.587</v>
      </c>
      <c r="F81" s="10">
        <v>16.559000000000001</v>
      </c>
      <c r="H81">
        <v>21.532</v>
      </c>
      <c r="J81">
        <v>24.864000000000001</v>
      </c>
      <c r="K81" s="21"/>
      <c r="N81" s="27">
        <v>4.9729999999999999</v>
      </c>
      <c r="O81" s="28">
        <v>4.9729999999999999</v>
      </c>
      <c r="R81" s="22">
        <v>16.559000000000001</v>
      </c>
      <c r="T81" s="10">
        <v>14.092000000000001</v>
      </c>
      <c r="V81" s="10">
        <v>14.125999999999999</v>
      </c>
      <c r="W81" s="21"/>
    </row>
    <row r="82" spans="1:23" x14ac:dyDescent="0.2">
      <c r="A82" s="20" t="s">
        <v>37</v>
      </c>
      <c r="B82" s="16">
        <v>4.1749999999999998</v>
      </c>
      <c r="D82">
        <v>9.7279999999999998</v>
      </c>
      <c r="F82" s="10">
        <v>13.903</v>
      </c>
      <c r="H82">
        <v>18.079000000000001</v>
      </c>
      <c r="J82">
        <v>20.876000000000001</v>
      </c>
      <c r="K82" s="21"/>
      <c r="N82" s="27">
        <v>4.1749999999999998</v>
      </c>
      <c r="O82" s="28">
        <v>4.1749999999999998</v>
      </c>
      <c r="R82" s="22">
        <v>13.903</v>
      </c>
      <c r="T82" s="10">
        <v>13.903</v>
      </c>
      <c r="V82" s="10">
        <v>13.903</v>
      </c>
      <c r="W82" s="21"/>
    </row>
    <row r="83" spans="1:23" x14ac:dyDescent="0.2">
      <c r="A83" s="20" t="s">
        <v>26</v>
      </c>
      <c r="B83" s="16">
        <v>4.1749999999999998</v>
      </c>
      <c r="D83">
        <v>9.7279999999999998</v>
      </c>
      <c r="F83" s="10">
        <v>13.903</v>
      </c>
      <c r="H83">
        <v>18.079000000000001</v>
      </c>
      <c r="J83">
        <v>20.876000000000001</v>
      </c>
      <c r="K83" s="21"/>
      <c r="N83" s="27">
        <v>4.1749999999999998</v>
      </c>
      <c r="O83" s="28">
        <v>4.1749999999999998</v>
      </c>
      <c r="R83" s="22">
        <v>13.903</v>
      </c>
      <c r="T83" s="10">
        <v>13.903</v>
      </c>
      <c r="V83" s="10">
        <v>13.903</v>
      </c>
      <c r="W83" s="21"/>
    </row>
    <row r="84" spans="1:23" x14ac:dyDescent="0.2">
      <c r="A84" s="20" t="s">
        <v>27</v>
      </c>
      <c r="B84" s="16">
        <v>4.1630000000000003</v>
      </c>
      <c r="D84">
        <v>9.6989999999999998</v>
      </c>
      <c r="F84" s="10">
        <v>13.862</v>
      </c>
      <c r="H84">
        <v>18.024999999999999</v>
      </c>
      <c r="J84">
        <v>20.814</v>
      </c>
      <c r="K84" s="21"/>
      <c r="N84" s="27">
        <v>4.1630000000000003</v>
      </c>
      <c r="O84" s="28">
        <v>4.1630000000000003</v>
      </c>
      <c r="R84" s="22">
        <v>13.862</v>
      </c>
      <c r="T84" s="10">
        <v>13.853999999999999</v>
      </c>
      <c r="V84" s="10">
        <v>13.853999999999999</v>
      </c>
      <c r="W84" s="21"/>
    </row>
    <row r="85" spans="1:23" x14ac:dyDescent="0.2">
      <c r="A85" s="20" t="s">
        <v>28</v>
      </c>
      <c r="B85" s="16">
        <v>4.6260000000000003</v>
      </c>
      <c r="D85">
        <v>10.779</v>
      </c>
      <c r="F85" s="10">
        <v>15.406000000000001</v>
      </c>
      <c r="H85">
        <v>20.032</v>
      </c>
      <c r="J85">
        <v>23.132000000000001</v>
      </c>
      <c r="K85" s="21"/>
      <c r="N85" s="27">
        <v>4.6260000000000003</v>
      </c>
      <c r="O85" s="28">
        <v>4.6260000000000003</v>
      </c>
      <c r="R85" s="22">
        <v>15.406000000000001</v>
      </c>
      <c r="T85" s="10">
        <v>14.052</v>
      </c>
      <c r="V85" s="10">
        <v>14.493</v>
      </c>
      <c r="W85" s="21"/>
    </row>
    <row r="86" spans="1:23" x14ac:dyDescent="0.2">
      <c r="A86" s="20" t="s">
        <v>29</v>
      </c>
      <c r="B86" s="16">
        <v>52.2</v>
      </c>
      <c r="D86">
        <v>121.626</v>
      </c>
      <c r="F86" s="10">
        <v>173.82599999999999</v>
      </c>
      <c r="H86">
        <v>226.02699999999999</v>
      </c>
      <c r="J86">
        <v>261.00099999999998</v>
      </c>
      <c r="K86" s="21"/>
      <c r="N86" s="27">
        <v>52.2</v>
      </c>
      <c r="O86" s="28">
        <v>52.2</v>
      </c>
      <c r="R86" s="22">
        <v>173.82599999999999</v>
      </c>
      <c r="T86" s="10">
        <v>34.259</v>
      </c>
      <c r="V86" s="10">
        <v>58.292999999999999</v>
      </c>
      <c r="W86" s="21"/>
    </row>
    <row r="87" spans="1:23" x14ac:dyDescent="0.2">
      <c r="A87" s="20" t="s">
        <v>30</v>
      </c>
      <c r="B87" s="16">
        <v>150.79300000000001</v>
      </c>
      <c r="D87">
        <v>351.34800000000001</v>
      </c>
      <c r="F87" s="10">
        <v>502.14100000000002</v>
      </c>
      <c r="H87">
        <v>652.93399999999997</v>
      </c>
      <c r="J87">
        <v>753.96500000000003</v>
      </c>
      <c r="K87" s="21"/>
      <c r="N87" s="27">
        <v>150.79300000000001</v>
      </c>
      <c r="O87" s="28">
        <v>150.79300000000001</v>
      </c>
      <c r="R87" s="22">
        <v>502.14100000000002</v>
      </c>
      <c r="T87" s="10">
        <v>429.9</v>
      </c>
      <c r="V87" s="10">
        <v>358.70299999999997</v>
      </c>
      <c r="W87" s="21"/>
    </row>
    <row r="88" spans="1:23" x14ac:dyDescent="0.2">
      <c r="A88" s="20" t="s">
        <v>31</v>
      </c>
      <c r="B88" s="16">
        <v>103.959</v>
      </c>
      <c r="D88">
        <v>242.22499999999999</v>
      </c>
      <c r="F88" s="10">
        <v>346.18400000000003</v>
      </c>
      <c r="H88">
        <v>450.14400000000001</v>
      </c>
      <c r="J88">
        <v>519.79600000000005</v>
      </c>
      <c r="K88" s="21"/>
      <c r="N88" s="27">
        <v>103.959</v>
      </c>
      <c r="O88" s="28">
        <v>103.959</v>
      </c>
      <c r="R88" s="22">
        <v>346.18400000000003</v>
      </c>
      <c r="T88" s="10">
        <v>551.83799999999997</v>
      </c>
      <c r="V88" s="10">
        <v>719.75300000000004</v>
      </c>
      <c r="W88" s="21"/>
    </row>
    <row r="89" spans="1:23" x14ac:dyDescent="0.2">
      <c r="A89" s="20" t="s">
        <v>32</v>
      </c>
      <c r="B89" s="16">
        <v>48.357999999999997</v>
      </c>
      <c r="D89">
        <v>112.675</v>
      </c>
      <c r="F89" s="10">
        <v>161.03299999999999</v>
      </c>
      <c r="H89">
        <v>209.39099999999999</v>
      </c>
      <c r="J89">
        <v>241.791</v>
      </c>
      <c r="K89" s="21"/>
      <c r="N89" s="27">
        <v>48.357999999999997</v>
      </c>
      <c r="O89" s="28">
        <v>48.357999999999997</v>
      </c>
      <c r="R89" s="22">
        <v>161.03299999999999</v>
      </c>
      <c r="T89" s="10">
        <v>463.63200000000001</v>
      </c>
      <c r="V89" s="10">
        <v>487.57</v>
      </c>
      <c r="W89" s="21"/>
    </row>
    <row r="90" spans="1:23" x14ac:dyDescent="0.2">
      <c r="A90" s="20" t="s">
        <v>33</v>
      </c>
      <c r="B90" s="16">
        <v>42.424999999999997</v>
      </c>
      <c r="D90">
        <v>98.85</v>
      </c>
      <c r="F90" s="10">
        <v>141.274</v>
      </c>
      <c r="H90">
        <v>183.69900000000001</v>
      </c>
      <c r="J90">
        <v>212.124</v>
      </c>
      <c r="K90" s="21"/>
      <c r="N90" s="27">
        <v>42.424999999999997</v>
      </c>
      <c r="O90" s="28">
        <v>42.424999999999997</v>
      </c>
      <c r="R90" s="22">
        <v>141.274</v>
      </c>
      <c r="T90" s="10">
        <v>298.75400000000002</v>
      </c>
      <c r="V90" s="10">
        <v>250.48599999999999</v>
      </c>
      <c r="W90" s="21"/>
    </row>
    <row r="91" spans="1:23" x14ac:dyDescent="0.2">
      <c r="A91" s="20" t="s">
        <v>34</v>
      </c>
      <c r="B91" s="16">
        <v>51.703000000000003</v>
      </c>
      <c r="D91">
        <v>120.467</v>
      </c>
      <c r="F91" s="10">
        <v>172.17</v>
      </c>
      <c r="H91">
        <v>223.87200000000001</v>
      </c>
      <c r="J91">
        <v>258.51299999999998</v>
      </c>
      <c r="K91" s="21"/>
      <c r="N91" s="27">
        <v>51.703000000000003</v>
      </c>
      <c r="O91" s="28">
        <v>51.703000000000003</v>
      </c>
      <c r="R91" s="22">
        <v>172.17</v>
      </c>
      <c r="T91" s="10">
        <v>138.04900000000001</v>
      </c>
      <c r="V91" s="10">
        <v>194.898</v>
      </c>
      <c r="W91" s="21"/>
    </row>
    <row r="92" spans="1:23" x14ac:dyDescent="0.2">
      <c r="A92" s="20" t="s">
        <v>35</v>
      </c>
      <c r="B92" s="16">
        <v>42.448999999999998</v>
      </c>
      <c r="D92">
        <v>98.906999999999996</v>
      </c>
      <c r="F92" s="10">
        <v>141.35599999999999</v>
      </c>
      <c r="H92">
        <v>183.80500000000001</v>
      </c>
      <c r="J92">
        <v>212.24600000000001</v>
      </c>
      <c r="K92" s="21"/>
      <c r="N92" s="27">
        <v>42.448999999999998</v>
      </c>
      <c r="O92" s="28">
        <v>42.448999999999998</v>
      </c>
      <c r="R92" s="22">
        <v>141.35599999999999</v>
      </c>
      <c r="T92" s="10">
        <v>140.71600000000001</v>
      </c>
      <c r="V92" s="10">
        <v>99.623000000000005</v>
      </c>
      <c r="W92" s="21"/>
    </row>
    <row r="93" spans="1:23" x14ac:dyDescent="0.2">
      <c r="A93" s="20" t="s">
        <v>36</v>
      </c>
      <c r="B93" s="16">
        <v>4.2060000000000004</v>
      </c>
      <c r="D93">
        <v>9.8000000000000007</v>
      </c>
      <c r="F93" s="10">
        <v>14.006</v>
      </c>
      <c r="H93">
        <v>18.212</v>
      </c>
      <c r="J93">
        <v>21.03</v>
      </c>
      <c r="K93" s="21"/>
      <c r="N93" s="27">
        <v>4.2060000000000004</v>
      </c>
      <c r="O93" s="28">
        <v>4.2060000000000004</v>
      </c>
      <c r="R93" s="22">
        <v>14.006</v>
      </c>
      <c r="T93" s="10">
        <v>14.532999999999999</v>
      </c>
      <c r="V93" s="10">
        <v>14.031000000000001</v>
      </c>
      <c r="W93" s="21"/>
    </row>
    <row r="94" spans="1:23" x14ac:dyDescent="0.2">
      <c r="A94" s="20" t="s">
        <v>37</v>
      </c>
      <c r="B94" s="16">
        <v>4.1749999999999998</v>
      </c>
      <c r="D94">
        <v>9.7279999999999998</v>
      </c>
      <c r="F94" s="10">
        <v>13.903</v>
      </c>
      <c r="H94">
        <v>18.079000000000001</v>
      </c>
      <c r="J94">
        <v>20.876000000000001</v>
      </c>
      <c r="K94" s="21"/>
      <c r="N94" s="27">
        <v>4.1749999999999998</v>
      </c>
      <c r="O94" s="28">
        <v>4.1749999999999998</v>
      </c>
      <c r="R94" s="22">
        <v>13.903</v>
      </c>
      <c r="T94" s="10">
        <v>13.903</v>
      </c>
      <c r="V94" s="10">
        <v>13.903</v>
      </c>
      <c r="W94" s="21"/>
    </row>
    <row r="95" spans="1:23" x14ac:dyDescent="0.2">
      <c r="A95" s="20" t="s">
        <v>26</v>
      </c>
      <c r="B95" s="16">
        <v>4.1749999999999998</v>
      </c>
      <c r="D95">
        <v>9.7279999999999998</v>
      </c>
      <c r="F95" s="10">
        <v>13.903</v>
      </c>
      <c r="H95">
        <v>18.079000000000001</v>
      </c>
      <c r="J95">
        <v>20.876000000000001</v>
      </c>
      <c r="K95" s="21"/>
      <c r="N95" s="27">
        <v>4.1749999999999998</v>
      </c>
      <c r="O95" s="28">
        <v>4.1749999999999998</v>
      </c>
      <c r="R95" s="22">
        <v>13.903</v>
      </c>
      <c r="T95" s="10">
        <v>13.903</v>
      </c>
      <c r="V95" s="10">
        <v>13.903</v>
      </c>
      <c r="W95" s="21"/>
    </row>
    <row r="96" spans="1:23" x14ac:dyDescent="0.2">
      <c r="A96" s="20" t="s">
        <v>27</v>
      </c>
      <c r="B96" s="16">
        <v>4.16</v>
      </c>
      <c r="D96">
        <v>9.6929999999999996</v>
      </c>
      <c r="F96" s="10">
        <v>13.853999999999999</v>
      </c>
      <c r="H96">
        <v>18.013999999999999</v>
      </c>
      <c r="J96">
        <v>20.800999999999998</v>
      </c>
      <c r="K96" s="21"/>
      <c r="N96" s="27">
        <v>4.16</v>
      </c>
      <c r="O96" s="28">
        <v>4.16</v>
      </c>
      <c r="R96" s="22">
        <v>13.853999999999999</v>
      </c>
      <c r="T96" s="10">
        <v>13.853999999999999</v>
      </c>
      <c r="V96" s="10">
        <v>13.853999999999999</v>
      </c>
      <c r="W96" s="21"/>
    </row>
    <row r="97" spans="1:23" x14ac:dyDescent="0.2">
      <c r="A97" s="20" t="s">
        <v>28</v>
      </c>
      <c r="B97" s="16">
        <v>4.4909999999999997</v>
      </c>
      <c r="D97">
        <v>10.465</v>
      </c>
      <c r="F97" s="10">
        <v>14.956</v>
      </c>
      <c r="H97">
        <v>19.448</v>
      </c>
      <c r="J97">
        <v>22.457000000000001</v>
      </c>
      <c r="K97" s="21"/>
      <c r="N97" s="27">
        <v>4.4909999999999997</v>
      </c>
      <c r="O97" s="28">
        <v>4.4909999999999997</v>
      </c>
      <c r="R97" s="22">
        <v>14.956</v>
      </c>
      <c r="T97" s="10">
        <v>13.933999999999999</v>
      </c>
      <c r="V97" s="10">
        <v>14.444000000000001</v>
      </c>
      <c r="W97" s="21"/>
    </row>
    <row r="98" spans="1:23" x14ac:dyDescent="0.2">
      <c r="A98" s="20" t="s">
        <v>29</v>
      </c>
      <c r="B98" s="16">
        <v>37.601999999999997</v>
      </c>
      <c r="D98">
        <v>87.613</v>
      </c>
      <c r="F98" s="10">
        <v>125.21599999999999</v>
      </c>
      <c r="H98">
        <v>162.81800000000001</v>
      </c>
      <c r="J98">
        <v>188.012</v>
      </c>
      <c r="K98" s="21"/>
      <c r="N98" s="27">
        <v>37.601999999999997</v>
      </c>
      <c r="O98" s="28">
        <v>37.601999999999997</v>
      </c>
      <c r="R98" s="22">
        <v>125.21599999999999</v>
      </c>
      <c r="T98" s="10">
        <v>24.201000000000001</v>
      </c>
      <c r="V98" s="10">
        <v>36.243000000000002</v>
      </c>
      <c r="W98" s="21"/>
    </row>
    <row r="99" spans="1:23" x14ac:dyDescent="0.2">
      <c r="A99" s="20" t="s">
        <v>30</v>
      </c>
      <c r="B99" s="16">
        <v>123.486</v>
      </c>
      <c r="D99">
        <v>287.72300000000001</v>
      </c>
      <c r="F99" s="10">
        <v>411.209</v>
      </c>
      <c r="H99">
        <v>534.69600000000003</v>
      </c>
      <c r="J99">
        <v>617.43200000000002</v>
      </c>
      <c r="K99" s="21"/>
      <c r="N99" s="27">
        <v>123.486</v>
      </c>
      <c r="O99" s="28">
        <v>123.486</v>
      </c>
      <c r="R99" s="22">
        <v>411.209</v>
      </c>
      <c r="T99" s="10">
        <v>342.29700000000003</v>
      </c>
      <c r="V99" s="10">
        <v>288.33999999999997</v>
      </c>
      <c r="W99" s="21"/>
    </row>
    <row r="100" spans="1:23" x14ac:dyDescent="0.2">
      <c r="A100" s="20" t="s">
        <v>31</v>
      </c>
      <c r="B100" s="16">
        <v>80.751000000000005</v>
      </c>
      <c r="D100">
        <v>188.15100000000001</v>
      </c>
      <c r="F100" s="10">
        <v>268.90199999999999</v>
      </c>
      <c r="H100">
        <v>349.654</v>
      </c>
      <c r="J100">
        <v>403.75700000000001</v>
      </c>
      <c r="K100" s="21"/>
      <c r="N100" s="27">
        <v>80.751000000000005</v>
      </c>
      <c r="O100" s="28">
        <v>80.751000000000005</v>
      </c>
      <c r="R100" s="22">
        <v>268.90199999999999</v>
      </c>
      <c r="T100" s="10">
        <v>425.44299999999998</v>
      </c>
      <c r="V100" s="10">
        <v>571.77499999999998</v>
      </c>
      <c r="W100" s="21"/>
    </row>
    <row r="101" spans="1:23" x14ac:dyDescent="0.2">
      <c r="A101" s="20" t="s">
        <v>32</v>
      </c>
      <c r="B101" s="16">
        <v>35.773000000000003</v>
      </c>
      <c r="D101">
        <v>83.352000000000004</v>
      </c>
      <c r="F101" s="10">
        <v>119.125</v>
      </c>
      <c r="H101">
        <v>154.899</v>
      </c>
      <c r="J101">
        <v>178.86699999999999</v>
      </c>
      <c r="K101" s="21"/>
      <c r="N101" s="27">
        <v>35.773000000000003</v>
      </c>
      <c r="O101" s="28">
        <v>35.773000000000003</v>
      </c>
      <c r="R101" s="22">
        <v>119.125</v>
      </c>
      <c r="T101" s="10">
        <v>314.58199999999999</v>
      </c>
      <c r="V101" s="10">
        <v>394.084</v>
      </c>
      <c r="W101" s="21"/>
    </row>
    <row r="102" spans="1:23" x14ac:dyDescent="0.2">
      <c r="A102" s="20" t="s">
        <v>33</v>
      </c>
      <c r="B102" s="16">
        <v>29.748000000000001</v>
      </c>
      <c r="D102">
        <v>69.313000000000002</v>
      </c>
      <c r="F102" s="10">
        <v>99.061000000000007</v>
      </c>
      <c r="H102">
        <v>128.809</v>
      </c>
      <c r="J102">
        <v>148.74</v>
      </c>
      <c r="K102" s="21"/>
      <c r="N102" s="27">
        <v>29.748000000000001</v>
      </c>
      <c r="O102" s="28">
        <v>29.748000000000001</v>
      </c>
      <c r="R102" s="22">
        <v>99.061000000000007</v>
      </c>
      <c r="T102" s="10">
        <v>174.755</v>
      </c>
      <c r="V102" s="10">
        <v>224.179</v>
      </c>
      <c r="W102" s="21"/>
    </row>
    <row r="103" spans="1:23" x14ac:dyDescent="0.2">
      <c r="A103" s="20" t="s">
        <v>34</v>
      </c>
      <c r="B103" s="16">
        <v>47.779000000000003</v>
      </c>
      <c r="D103">
        <v>111.32599999999999</v>
      </c>
      <c r="F103" s="10">
        <v>159.10499999999999</v>
      </c>
      <c r="H103">
        <v>206.88399999999999</v>
      </c>
      <c r="J103">
        <v>238.89599999999999</v>
      </c>
      <c r="K103" s="21"/>
      <c r="N103" s="27">
        <v>47.779000000000003</v>
      </c>
      <c r="O103" s="28">
        <v>47.779000000000003</v>
      </c>
      <c r="R103" s="22">
        <v>159.10499999999999</v>
      </c>
      <c r="T103" s="10">
        <v>173.93100000000001</v>
      </c>
      <c r="V103" s="10">
        <v>131.547</v>
      </c>
      <c r="W103" s="21"/>
    </row>
    <row r="104" spans="1:23" x14ac:dyDescent="0.2">
      <c r="A104" s="20" t="s">
        <v>35</v>
      </c>
      <c r="B104" s="16">
        <v>16.481999999999999</v>
      </c>
      <c r="D104">
        <v>38.404000000000003</v>
      </c>
      <c r="F104" s="10">
        <v>54.886000000000003</v>
      </c>
      <c r="H104">
        <v>71.367999999999995</v>
      </c>
      <c r="J104">
        <v>82.411000000000001</v>
      </c>
      <c r="K104" s="21"/>
      <c r="N104" s="27">
        <v>16.481999999999999</v>
      </c>
      <c r="O104" s="28">
        <v>16.481999999999999</v>
      </c>
      <c r="R104" s="22">
        <v>54.886000000000003</v>
      </c>
      <c r="T104" s="10">
        <v>52.408999999999999</v>
      </c>
      <c r="V104" s="10">
        <v>70.123999999999995</v>
      </c>
      <c r="W104" s="21"/>
    </row>
    <row r="105" spans="1:23" x14ac:dyDescent="0.2">
      <c r="A105" s="20" t="s">
        <v>36</v>
      </c>
      <c r="B105" s="16">
        <v>6.9729999999999999</v>
      </c>
      <c r="D105">
        <v>16.247</v>
      </c>
      <c r="F105" s="10">
        <v>23.219000000000001</v>
      </c>
      <c r="H105">
        <v>30.192</v>
      </c>
      <c r="J105">
        <v>34.863999999999997</v>
      </c>
      <c r="K105" s="21"/>
      <c r="N105" s="27">
        <v>6.9729999999999999</v>
      </c>
      <c r="O105" s="28">
        <v>6.9729999999999999</v>
      </c>
      <c r="R105" s="22">
        <v>23.219000000000001</v>
      </c>
      <c r="T105" s="10">
        <v>17.475999999999999</v>
      </c>
      <c r="V105" s="10">
        <v>13.888</v>
      </c>
      <c r="W105" s="21"/>
    </row>
    <row r="106" spans="1:23" x14ac:dyDescent="0.2">
      <c r="A106" s="20" t="s">
        <v>37</v>
      </c>
      <c r="B106" s="16">
        <v>4.1749999999999998</v>
      </c>
      <c r="D106">
        <v>9.7279999999999998</v>
      </c>
      <c r="F106" s="10">
        <v>13.903</v>
      </c>
      <c r="H106">
        <v>18.079000000000001</v>
      </c>
      <c r="J106">
        <v>20.876000000000001</v>
      </c>
      <c r="K106" s="21"/>
      <c r="N106" s="27">
        <v>4.1749999999999998</v>
      </c>
      <c r="O106" s="28">
        <v>4.1749999999999998</v>
      </c>
      <c r="R106" s="22">
        <v>13.903</v>
      </c>
      <c r="T106" s="10">
        <v>13.903</v>
      </c>
      <c r="V106" s="10">
        <v>13.903</v>
      </c>
      <c r="W106" s="21"/>
    </row>
    <row r="107" spans="1:23" x14ac:dyDescent="0.2">
      <c r="A107" s="20" t="s">
        <v>26</v>
      </c>
      <c r="B107" s="16">
        <v>4.1749999999999998</v>
      </c>
      <c r="D107">
        <v>9.7279999999999998</v>
      </c>
      <c r="F107" s="10">
        <v>13.903</v>
      </c>
      <c r="H107">
        <v>18.079000000000001</v>
      </c>
      <c r="J107">
        <v>20.876000000000001</v>
      </c>
      <c r="K107" s="21"/>
      <c r="N107" s="27">
        <v>4.1749999999999998</v>
      </c>
      <c r="O107" s="28">
        <v>4.1749999999999998</v>
      </c>
      <c r="R107" s="22">
        <v>13.903</v>
      </c>
      <c r="T107" s="10">
        <v>13.903</v>
      </c>
      <c r="V107" s="10">
        <v>13.903</v>
      </c>
      <c r="W107" s="21"/>
    </row>
    <row r="108" spans="1:23" x14ac:dyDescent="0.2">
      <c r="A108" s="20" t="s">
        <v>27</v>
      </c>
      <c r="B108" s="16">
        <v>4.1920000000000002</v>
      </c>
      <c r="D108">
        <v>9.7680000000000007</v>
      </c>
      <c r="F108" s="10">
        <v>13.961</v>
      </c>
      <c r="H108">
        <v>18.152999999999999</v>
      </c>
      <c r="J108">
        <v>20.962</v>
      </c>
      <c r="K108" s="21"/>
      <c r="N108" s="27">
        <v>4.1920000000000002</v>
      </c>
      <c r="O108" s="28">
        <v>4.1920000000000002</v>
      </c>
      <c r="R108" s="22">
        <v>13.961</v>
      </c>
      <c r="T108" s="10">
        <v>13.853999999999999</v>
      </c>
      <c r="V108" s="10">
        <v>14.098000000000001</v>
      </c>
      <c r="W108" s="21"/>
    </row>
    <row r="109" spans="1:23" x14ac:dyDescent="0.2">
      <c r="A109" s="20" t="s">
        <v>28</v>
      </c>
      <c r="B109" s="16">
        <v>8.0229999999999997</v>
      </c>
      <c r="D109">
        <v>18.693999999999999</v>
      </c>
      <c r="F109" s="10">
        <v>26.716999999999999</v>
      </c>
      <c r="H109">
        <v>34.74</v>
      </c>
      <c r="J109">
        <v>40.115000000000002</v>
      </c>
      <c r="K109" s="21"/>
      <c r="N109" s="27">
        <v>8.0229999999999997</v>
      </c>
      <c r="O109" s="28">
        <v>8.0229999999999997</v>
      </c>
      <c r="R109" s="22">
        <v>26.716999999999999</v>
      </c>
      <c r="T109" s="10">
        <v>14.3</v>
      </c>
      <c r="V109" s="10">
        <v>19.908999999999999</v>
      </c>
      <c r="W109" s="21"/>
    </row>
    <row r="110" spans="1:23" x14ac:dyDescent="0.2">
      <c r="A110" s="20" t="s">
        <v>29</v>
      </c>
      <c r="B110" s="16">
        <v>75.564999999999998</v>
      </c>
      <c r="D110">
        <v>176.06700000000001</v>
      </c>
      <c r="F110" s="10">
        <v>251.63300000000001</v>
      </c>
      <c r="H110">
        <v>327.19799999999998</v>
      </c>
      <c r="J110">
        <v>377.827</v>
      </c>
      <c r="K110" s="21"/>
      <c r="N110" s="27">
        <v>75.564999999999998</v>
      </c>
      <c r="O110" s="28">
        <v>75.564999999999998</v>
      </c>
      <c r="R110" s="22">
        <v>251.63300000000001</v>
      </c>
      <c r="T110" s="10">
        <v>55.881</v>
      </c>
      <c r="V110" s="10">
        <v>125.545</v>
      </c>
      <c r="W110" s="21"/>
    </row>
    <row r="111" spans="1:23" x14ac:dyDescent="0.2">
      <c r="A111" s="20" t="s">
        <v>30</v>
      </c>
      <c r="B111" s="16">
        <v>111.515</v>
      </c>
      <c r="D111">
        <v>259.83</v>
      </c>
      <c r="F111" s="10">
        <v>371.34500000000003</v>
      </c>
      <c r="H111">
        <v>482.86</v>
      </c>
      <c r="J111">
        <v>557.57500000000005</v>
      </c>
      <c r="K111" s="21"/>
      <c r="N111" s="27">
        <v>111.515</v>
      </c>
      <c r="O111" s="28">
        <v>111.515</v>
      </c>
      <c r="R111" s="22">
        <v>371.34500000000003</v>
      </c>
      <c r="T111" s="10">
        <v>500.38299999999998</v>
      </c>
      <c r="V111" s="10">
        <v>497.77100000000002</v>
      </c>
      <c r="W111" s="21"/>
    </row>
    <row r="112" spans="1:23" x14ac:dyDescent="0.2">
      <c r="A112" s="20" t="s">
        <v>31</v>
      </c>
      <c r="B112" s="16">
        <v>76.754999999999995</v>
      </c>
      <c r="D112">
        <v>178.83799999999999</v>
      </c>
      <c r="F112" s="10">
        <v>255.59299999999999</v>
      </c>
      <c r="H112">
        <v>332.34699999999998</v>
      </c>
      <c r="J112">
        <v>383.77300000000002</v>
      </c>
      <c r="K112" s="21"/>
      <c r="N112" s="27">
        <v>76.754999999999995</v>
      </c>
      <c r="O112" s="28">
        <v>76.754999999999995</v>
      </c>
      <c r="R112" s="22">
        <v>255.59299999999999</v>
      </c>
      <c r="T112" s="10">
        <v>466.59800000000001</v>
      </c>
      <c r="V112" s="10">
        <v>546.46900000000005</v>
      </c>
      <c r="W112" s="21"/>
    </row>
    <row r="113" spans="1:23" x14ac:dyDescent="0.2">
      <c r="A113" s="20" t="s">
        <v>32</v>
      </c>
      <c r="B113" s="16">
        <v>43.084000000000003</v>
      </c>
      <c r="D113">
        <v>100.387</v>
      </c>
      <c r="F113" s="10">
        <v>143.471</v>
      </c>
      <c r="H113">
        <v>186.55600000000001</v>
      </c>
      <c r="J113">
        <v>215.422</v>
      </c>
      <c r="K113" s="21"/>
      <c r="N113" s="27">
        <v>43.084000000000003</v>
      </c>
      <c r="O113" s="28">
        <v>43.084000000000003</v>
      </c>
      <c r="R113" s="22">
        <v>143.471</v>
      </c>
      <c r="T113" s="10">
        <v>245.98099999999999</v>
      </c>
      <c r="V113" s="10">
        <v>223.27199999999999</v>
      </c>
      <c r="W113" s="21"/>
    </row>
    <row r="114" spans="1:23" x14ac:dyDescent="0.2">
      <c r="A114" s="20" t="s">
        <v>33</v>
      </c>
      <c r="B114" s="16">
        <v>37.442999999999998</v>
      </c>
      <c r="D114">
        <v>87.241</v>
      </c>
      <c r="F114" s="10">
        <v>124.684</v>
      </c>
      <c r="H114">
        <v>162.126</v>
      </c>
      <c r="J114">
        <v>187.21299999999999</v>
      </c>
      <c r="K114" s="21"/>
      <c r="N114" s="27">
        <v>37.442999999999998</v>
      </c>
      <c r="O114" s="28">
        <v>37.442999999999998</v>
      </c>
      <c r="R114" s="22">
        <v>124.684</v>
      </c>
      <c r="T114" s="10">
        <v>270.15499999999997</v>
      </c>
      <c r="V114" s="10">
        <v>217.68</v>
      </c>
      <c r="W114" s="21"/>
    </row>
    <row r="115" spans="1:23" x14ac:dyDescent="0.2">
      <c r="A115" s="20" t="s">
        <v>34</v>
      </c>
      <c r="B115" s="16">
        <v>58.360999999999997</v>
      </c>
      <c r="D115">
        <v>135.97999999999999</v>
      </c>
      <c r="F115" s="10">
        <v>194.34100000000001</v>
      </c>
      <c r="H115">
        <v>252.702</v>
      </c>
      <c r="J115">
        <v>291.803</v>
      </c>
      <c r="K115" s="21"/>
      <c r="N115" s="27">
        <v>58.360999999999997</v>
      </c>
      <c r="O115" s="28">
        <v>58.360999999999997</v>
      </c>
      <c r="R115" s="22">
        <v>194.34100000000001</v>
      </c>
      <c r="T115" s="10">
        <v>207.35499999999999</v>
      </c>
      <c r="V115" s="10">
        <v>143.40799999999999</v>
      </c>
      <c r="W115" s="21"/>
    </row>
    <row r="116" spans="1:23" x14ac:dyDescent="0.2">
      <c r="A116" s="20" t="s">
        <v>35</v>
      </c>
      <c r="B116" s="16">
        <v>17.963000000000001</v>
      </c>
      <c r="D116">
        <v>41.853999999999999</v>
      </c>
      <c r="F116" s="10">
        <v>59.817</v>
      </c>
      <c r="H116">
        <v>77.78</v>
      </c>
      <c r="J116">
        <v>89.816000000000003</v>
      </c>
      <c r="K116" s="21"/>
      <c r="N116" s="27">
        <v>17.963000000000001</v>
      </c>
      <c r="O116" s="28">
        <v>17.963000000000001</v>
      </c>
      <c r="R116" s="22">
        <v>59.817</v>
      </c>
      <c r="T116" s="10">
        <v>62.792999999999999</v>
      </c>
      <c r="V116" s="10">
        <v>239.58500000000001</v>
      </c>
      <c r="W116" s="21"/>
    </row>
    <row r="117" spans="1:23" x14ac:dyDescent="0.2">
      <c r="A117" s="20" t="s">
        <v>36</v>
      </c>
      <c r="B117" s="16">
        <v>22.838999999999999</v>
      </c>
      <c r="D117">
        <v>53.213999999999999</v>
      </c>
      <c r="F117" s="10">
        <v>76.052999999999997</v>
      </c>
      <c r="H117">
        <v>98.891999999999996</v>
      </c>
      <c r="J117">
        <v>114.194</v>
      </c>
      <c r="K117" s="21"/>
      <c r="N117" s="27">
        <v>22.838999999999999</v>
      </c>
      <c r="O117" s="28">
        <v>22.838999999999999</v>
      </c>
      <c r="R117" s="22">
        <v>76.052999999999997</v>
      </c>
      <c r="T117" s="10">
        <v>51.433</v>
      </c>
      <c r="V117" s="10">
        <v>16.001999999999999</v>
      </c>
      <c r="W117" s="21"/>
    </row>
    <row r="118" spans="1:23" x14ac:dyDescent="0.2">
      <c r="A118" s="20" t="s">
        <v>37</v>
      </c>
      <c r="B118" s="16">
        <v>4.1760000000000002</v>
      </c>
      <c r="D118">
        <v>9.7289999999999992</v>
      </c>
      <c r="F118" s="10">
        <v>13.904999999999999</v>
      </c>
      <c r="H118">
        <v>18.079999999999998</v>
      </c>
      <c r="J118">
        <v>20.878</v>
      </c>
      <c r="K118" s="21"/>
      <c r="N118" s="27">
        <v>4.1760000000000002</v>
      </c>
      <c r="O118" s="28">
        <v>4.1760000000000002</v>
      </c>
      <c r="R118" s="22">
        <v>13.904999999999999</v>
      </c>
      <c r="T118" s="10">
        <v>14.38</v>
      </c>
      <c r="V118" s="10">
        <v>13.904</v>
      </c>
      <c r="W118" s="21"/>
    </row>
    <row r="119" spans="1:23" x14ac:dyDescent="0.2">
      <c r="A119" s="20" t="s">
        <v>26</v>
      </c>
      <c r="B119" s="16">
        <v>4.1749999999999998</v>
      </c>
      <c r="D119">
        <v>9.7279999999999998</v>
      </c>
      <c r="F119" s="10">
        <v>13.903</v>
      </c>
      <c r="H119">
        <v>18.079000000000001</v>
      </c>
      <c r="J119">
        <v>20.876000000000001</v>
      </c>
      <c r="K119" s="21"/>
      <c r="N119" s="27">
        <v>4.1749999999999998</v>
      </c>
      <c r="O119" s="28">
        <v>4.1749999999999998</v>
      </c>
      <c r="R119" s="22">
        <v>13.903</v>
      </c>
      <c r="T119" s="10">
        <v>13.903</v>
      </c>
      <c r="V119" s="10">
        <v>13.903</v>
      </c>
      <c r="W119" s="21"/>
    </row>
    <row r="120" spans="1:23" x14ac:dyDescent="0.2">
      <c r="A120" s="20" t="s">
        <v>27</v>
      </c>
      <c r="B120" s="16">
        <v>4.165</v>
      </c>
      <c r="D120">
        <v>9.7050000000000001</v>
      </c>
      <c r="F120" s="10">
        <v>13.87</v>
      </c>
      <c r="H120">
        <v>18.036000000000001</v>
      </c>
      <c r="J120">
        <v>20.826000000000001</v>
      </c>
      <c r="K120" s="21"/>
      <c r="N120" s="27">
        <v>4.165</v>
      </c>
      <c r="O120" s="28">
        <v>4.165</v>
      </c>
      <c r="R120" s="22">
        <v>13.87</v>
      </c>
      <c r="T120" s="10">
        <v>13.853999999999999</v>
      </c>
      <c r="V120" s="10">
        <v>14.335000000000001</v>
      </c>
      <c r="W120" s="21"/>
    </row>
    <row r="121" spans="1:23" x14ac:dyDescent="0.2">
      <c r="A121" s="20" t="s">
        <v>28</v>
      </c>
      <c r="B121" s="16">
        <v>6.3129999999999997</v>
      </c>
      <c r="D121">
        <v>14.709</v>
      </c>
      <c r="F121" s="10">
        <v>21.021999999999998</v>
      </c>
      <c r="H121">
        <v>27.335000000000001</v>
      </c>
      <c r="J121">
        <v>31.565000000000001</v>
      </c>
      <c r="K121" s="21"/>
      <c r="N121" s="27">
        <v>6.3129999999999997</v>
      </c>
      <c r="O121" s="28">
        <v>6.3129999999999997</v>
      </c>
      <c r="R121" s="22">
        <v>21.021999999999998</v>
      </c>
      <c r="T121" s="10">
        <v>14.372999999999999</v>
      </c>
      <c r="V121" s="10">
        <v>17.547000000000001</v>
      </c>
      <c r="W121" s="21"/>
    </row>
    <row r="122" spans="1:23" x14ac:dyDescent="0.2">
      <c r="A122" s="20" t="s">
        <v>29</v>
      </c>
      <c r="B122" s="16">
        <v>68.611000000000004</v>
      </c>
      <c r="D122">
        <v>159.864</v>
      </c>
      <c r="F122" s="10">
        <v>228.47499999999999</v>
      </c>
      <c r="H122">
        <v>297.08600000000001</v>
      </c>
      <c r="J122">
        <v>343.05599999999998</v>
      </c>
      <c r="K122" s="21"/>
      <c r="N122" s="27">
        <v>68.611000000000004</v>
      </c>
      <c r="O122" s="28">
        <v>68.611000000000004</v>
      </c>
      <c r="R122" s="22">
        <v>228.47499999999999</v>
      </c>
      <c r="T122" s="10">
        <v>46.6</v>
      </c>
      <c r="V122" s="10">
        <v>99.481999999999999</v>
      </c>
      <c r="W122" s="21"/>
    </row>
    <row r="123" spans="1:23" x14ac:dyDescent="0.2">
      <c r="A123" s="20" t="s">
        <v>30</v>
      </c>
      <c r="B123" s="16">
        <v>128.58000000000001</v>
      </c>
      <c r="D123">
        <v>299.59100000000001</v>
      </c>
      <c r="F123" s="10">
        <v>428.17099999999999</v>
      </c>
      <c r="H123">
        <v>556.75</v>
      </c>
      <c r="J123">
        <v>642.899</v>
      </c>
      <c r="K123" s="21"/>
      <c r="N123" s="27">
        <v>128.58000000000001</v>
      </c>
      <c r="O123" s="28">
        <v>128.58000000000001</v>
      </c>
      <c r="R123" s="22">
        <v>428.17099999999999</v>
      </c>
      <c r="T123" s="10">
        <v>470.60199999999998</v>
      </c>
      <c r="V123" s="10">
        <v>460.65100000000001</v>
      </c>
      <c r="W123" s="21"/>
    </row>
    <row r="124" spans="1:23" x14ac:dyDescent="0.2">
      <c r="A124" s="20" t="s">
        <v>31</v>
      </c>
      <c r="B124" s="16">
        <v>59.462000000000003</v>
      </c>
      <c r="D124">
        <v>138.547</v>
      </c>
      <c r="F124" s="10">
        <v>198.01</v>
      </c>
      <c r="H124">
        <v>257.47199999999998</v>
      </c>
      <c r="J124">
        <v>297.31200000000001</v>
      </c>
      <c r="K124" s="21"/>
      <c r="N124" s="27">
        <v>59.462000000000003</v>
      </c>
      <c r="O124" s="28">
        <v>59.462000000000003</v>
      </c>
      <c r="R124" s="22">
        <v>198.01</v>
      </c>
      <c r="T124" s="10">
        <v>474.721</v>
      </c>
      <c r="V124" s="10">
        <v>508.59399999999999</v>
      </c>
      <c r="W124" s="21"/>
    </row>
    <row r="125" spans="1:23" x14ac:dyDescent="0.2">
      <c r="A125" s="20" t="s">
        <v>32</v>
      </c>
      <c r="B125" s="16">
        <v>36.951999999999998</v>
      </c>
      <c r="D125">
        <v>86.097999999999999</v>
      </c>
      <c r="F125" s="10">
        <v>123.05</v>
      </c>
      <c r="H125">
        <v>160.00200000000001</v>
      </c>
      <c r="J125">
        <v>184.76</v>
      </c>
      <c r="K125" s="21"/>
      <c r="N125" s="27">
        <v>36.951999999999998</v>
      </c>
      <c r="O125" s="28">
        <v>36.951999999999998</v>
      </c>
      <c r="R125" s="22">
        <v>123.05</v>
      </c>
      <c r="T125" s="10">
        <v>290.14299999999997</v>
      </c>
      <c r="V125" s="10">
        <v>274.12700000000001</v>
      </c>
      <c r="W125" s="21"/>
    </row>
    <row r="126" spans="1:23" x14ac:dyDescent="0.2">
      <c r="A126" s="20" t="s">
        <v>33</v>
      </c>
      <c r="B126" s="16">
        <v>48.668999999999997</v>
      </c>
      <c r="D126">
        <v>113.398</v>
      </c>
      <c r="F126" s="10">
        <v>162.066</v>
      </c>
      <c r="H126">
        <v>210.73500000000001</v>
      </c>
      <c r="J126">
        <v>243.34299999999999</v>
      </c>
      <c r="K126" s="21"/>
      <c r="N126" s="27">
        <v>48.668999999999997</v>
      </c>
      <c r="O126" s="28">
        <v>48.668999999999997</v>
      </c>
      <c r="R126" s="22">
        <v>162.066</v>
      </c>
      <c r="T126" s="10">
        <v>233.751</v>
      </c>
      <c r="V126" s="10">
        <v>189.095</v>
      </c>
      <c r="W126" s="21"/>
    </row>
    <row r="127" spans="1:23" x14ac:dyDescent="0.2">
      <c r="A127" s="20" t="s">
        <v>34</v>
      </c>
      <c r="B127" s="16">
        <v>45.646999999999998</v>
      </c>
      <c r="D127">
        <v>106.357</v>
      </c>
      <c r="F127" s="10">
        <v>152.00399999999999</v>
      </c>
      <c r="H127">
        <v>197.65100000000001</v>
      </c>
      <c r="J127">
        <v>228.23400000000001</v>
      </c>
      <c r="K127" s="21"/>
      <c r="N127" s="27">
        <v>45.646999999999998</v>
      </c>
      <c r="O127" s="28">
        <v>45.646999999999998</v>
      </c>
      <c r="R127" s="22">
        <v>152.00399999999999</v>
      </c>
      <c r="T127" s="10">
        <v>167.86699999999999</v>
      </c>
      <c r="V127" s="10">
        <v>172.58099999999999</v>
      </c>
      <c r="W127" s="21"/>
    </row>
    <row r="128" spans="1:23" x14ac:dyDescent="0.2">
      <c r="A128" s="20" t="s">
        <v>35</v>
      </c>
      <c r="B128" s="16">
        <v>41.143000000000001</v>
      </c>
      <c r="D128">
        <v>95.863</v>
      </c>
      <c r="F128" s="10">
        <v>137.005</v>
      </c>
      <c r="H128">
        <v>178.148</v>
      </c>
      <c r="J128">
        <v>205.714</v>
      </c>
      <c r="K128" s="21"/>
      <c r="N128" s="27">
        <v>41.143000000000001</v>
      </c>
      <c r="O128" s="28">
        <v>41.143000000000001</v>
      </c>
      <c r="R128" s="22">
        <v>137.005</v>
      </c>
      <c r="T128" s="10">
        <v>105.392</v>
      </c>
      <c r="V128" s="10">
        <v>150.154</v>
      </c>
      <c r="W128" s="21"/>
    </row>
    <row r="129" spans="1:23" x14ac:dyDescent="0.2">
      <c r="A129" s="20" t="s">
        <v>36</v>
      </c>
      <c r="B129" s="16">
        <v>4.3360000000000003</v>
      </c>
      <c r="D129">
        <v>10.102</v>
      </c>
      <c r="F129" s="10">
        <v>14.438000000000001</v>
      </c>
      <c r="H129">
        <v>18.773</v>
      </c>
      <c r="J129">
        <v>21.678000000000001</v>
      </c>
      <c r="K129" s="21"/>
      <c r="N129" s="27">
        <v>4.3360000000000003</v>
      </c>
      <c r="O129" s="28">
        <v>4.3360000000000003</v>
      </c>
      <c r="R129" s="22">
        <v>14.438000000000001</v>
      </c>
      <c r="T129" s="10">
        <v>17.936</v>
      </c>
      <c r="V129" s="10">
        <v>16.193000000000001</v>
      </c>
      <c r="W129" s="21"/>
    </row>
    <row r="130" spans="1:23" x14ac:dyDescent="0.2">
      <c r="A130" s="20" t="s">
        <v>37</v>
      </c>
      <c r="B130" s="16">
        <v>4.1749999999999998</v>
      </c>
      <c r="D130">
        <v>9.7279999999999998</v>
      </c>
      <c r="F130" s="10">
        <v>13.903</v>
      </c>
      <c r="H130">
        <v>18.079000000000001</v>
      </c>
      <c r="J130">
        <v>20.876000000000001</v>
      </c>
      <c r="K130" s="21"/>
      <c r="N130" s="27">
        <v>4.1749999999999998</v>
      </c>
      <c r="O130" s="28">
        <v>4.1749999999999998</v>
      </c>
      <c r="R130" s="22">
        <v>13.903</v>
      </c>
      <c r="T130" s="10">
        <v>14.118</v>
      </c>
      <c r="V130" s="10">
        <v>13.919</v>
      </c>
      <c r="W130" s="21"/>
    </row>
    <row r="131" spans="1:23" x14ac:dyDescent="0.2">
      <c r="A131" s="20" t="s">
        <v>26</v>
      </c>
      <c r="B131" s="16">
        <v>4.1749999999999998</v>
      </c>
      <c r="D131">
        <v>9.7279999999999998</v>
      </c>
      <c r="F131" s="10">
        <v>13.903</v>
      </c>
      <c r="H131">
        <v>18.079000000000001</v>
      </c>
      <c r="J131">
        <v>20.876000000000001</v>
      </c>
      <c r="K131" s="21"/>
      <c r="N131" s="27">
        <v>4.1749999999999998</v>
      </c>
      <c r="O131" s="28">
        <v>4.1749999999999998</v>
      </c>
      <c r="R131" s="22">
        <v>13.903</v>
      </c>
      <c r="T131" s="10">
        <v>13.903</v>
      </c>
      <c r="V131" s="10">
        <v>13.903</v>
      </c>
      <c r="W131" s="21"/>
    </row>
    <row r="132" spans="1:23" x14ac:dyDescent="0.2">
      <c r="A132" s="20" t="s">
        <v>27</v>
      </c>
      <c r="B132" s="16">
        <v>4.16</v>
      </c>
      <c r="D132">
        <v>9.6929999999999996</v>
      </c>
      <c r="F132" s="10">
        <v>13.853999999999999</v>
      </c>
      <c r="H132">
        <v>18.013999999999999</v>
      </c>
      <c r="J132">
        <v>20.800999999999998</v>
      </c>
      <c r="K132" s="21"/>
      <c r="N132" s="27">
        <v>4.16</v>
      </c>
      <c r="O132" s="28">
        <v>4.16</v>
      </c>
      <c r="R132" s="22">
        <v>13.853999999999999</v>
      </c>
      <c r="T132" s="10">
        <v>13.853999999999999</v>
      </c>
      <c r="V132" s="10">
        <v>13.853999999999999</v>
      </c>
      <c r="W132" s="21"/>
    </row>
    <row r="133" spans="1:23" x14ac:dyDescent="0.2">
      <c r="A133" s="20" t="s">
        <v>28</v>
      </c>
      <c r="B133" s="16">
        <v>4.2409999999999997</v>
      </c>
      <c r="D133">
        <v>9.8819999999999997</v>
      </c>
      <c r="F133" s="10">
        <v>14.122999999999999</v>
      </c>
      <c r="H133">
        <v>18.364000000000001</v>
      </c>
      <c r="J133">
        <v>21.204999999999998</v>
      </c>
      <c r="K133" s="21"/>
      <c r="N133" s="27">
        <v>4.2409999999999997</v>
      </c>
      <c r="O133" s="28">
        <v>4.2409999999999997</v>
      </c>
      <c r="R133" s="22">
        <v>14.122999999999999</v>
      </c>
      <c r="T133" s="10">
        <v>13.919</v>
      </c>
      <c r="V133" s="10">
        <v>13.903</v>
      </c>
      <c r="W133" s="21"/>
    </row>
    <row r="134" spans="1:23" x14ac:dyDescent="0.2">
      <c r="A134" s="20" t="s">
        <v>29</v>
      </c>
      <c r="B134" s="16">
        <v>14.238</v>
      </c>
      <c r="D134">
        <v>33.173999999999999</v>
      </c>
      <c r="F134" s="10">
        <v>47.411000000000001</v>
      </c>
      <c r="H134">
        <v>61.649000000000001</v>
      </c>
      <c r="J134">
        <v>71.188000000000002</v>
      </c>
      <c r="K134" s="21"/>
      <c r="N134" s="27">
        <v>14.238</v>
      </c>
      <c r="O134" s="28">
        <v>14.238</v>
      </c>
      <c r="R134" s="22">
        <v>47.411000000000001</v>
      </c>
      <c r="T134" s="10">
        <v>16.811</v>
      </c>
      <c r="V134" s="10">
        <v>14.936999999999999</v>
      </c>
      <c r="W134" s="21"/>
    </row>
    <row r="135" spans="1:23" x14ac:dyDescent="0.2">
      <c r="A135" s="20" t="s">
        <v>30</v>
      </c>
      <c r="B135" s="16">
        <v>102.938</v>
      </c>
      <c r="D135">
        <v>239.84700000000001</v>
      </c>
      <c r="F135" s="10">
        <v>342.78500000000003</v>
      </c>
      <c r="H135">
        <v>445.72300000000001</v>
      </c>
      <c r="J135">
        <v>514.69200000000001</v>
      </c>
      <c r="K135" s="21"/>
      <c r="N135" s="27">
        <v>102.938</v>
      </c>
      <c r="O135" s="28">
        <v>102.938</v>
      </c>
      <c r="R135" s="22">
        <v>342.78500000000003</v>
      </c>
      <c r="T135" s="10">
        <v>211.21700000000001</v>
      </c>
      <c r="V135" s="10">
        <v>115.59399999999999</v>
      </c>
      <c r="W135" s="21"/>
    </row>
    <row r="136" spans="1:23" x14ac:dyDescent="0.2">
      <c r="A136" s="20" t="s">
        <v>31</v>
      </c>
      <c r="B136" s="16">
        <v>128.54599999999999</v>
      </c>
      <c r="D136">
        <v>299.512</v>
      </c>
      <c r="F136" s="10">
        <v>428.05799999999999</v>
      </c>
      <c r="H136">
        <v>556.60400000000004</v>
      </c>
      <c r="J136">
        <v>642.72900000000004</v>
      </c>
      <c r="K136" s="21"/>
      <c r="N136" s="27">
        <v>128.54599999999999</v>
      </c>
      <c r="O136" s="28">
        <v>128.54599999999999</v>
      </c>
      <c r="R136" s="22">
        <v>428.05799999999999</v>
      </c>
      <c r="T136" s="10">
        <v>395.92599999999999</v>
      </c>
      <c r="V136" s="10">
        <v>507.58199999999999</v>
      </c>
      <c r="W136" s="21"/>
    </row>
    <row r="137" spans="1:23" x14ac:dyDescent="0.2">
      <c r="A137" s="20" t="s">
        <v>32</v>
      </c>
      <c r="B137" s="16">
        <v>59.783000000000001</v>
      </c>
      <c r="D137">
        <v>139.29400000000001</v>
      </c>
      <c r="F137" s="10">
        <v>199.077</v>
      </c>
      <c r="H137">
        <v>258.86</v>
      </c>
      <c r="J137">
        <v>298.91500000000002</v>
      </c>
      <c r="K137" s="21"/>
      <c r="N137" s="27">
        <v>59.783000000000001</v>
      </c>
      <c r="O137" s="28">
        <v>59.783000000000001</v>
      </c>
      <c r="R137" s="22">
        <v>199.077</v>
      </c>
      <c r="T137" s="10">
        <v>454.13400000000001</v>
      </c>
      <c r="V137" s="10">
        <v>532.70299999999997</v>
      </c>
      <c r="W137" s="21"/>
    </row>
    <row r="138" spans="1:23" x14ac:dyDescent="0.2">
      <c r="A138" s="20" t="s">
        <v>33</v>
      </c>
      <c r="B138" s="16">
        <v>44.048000000000002</v>
      </c>
      <c r="D138">
        <v>102.63200000000001</v>
      </c>
      <c r="F138" s="10">
        <v>146.68</v>
      </c>
      <c r="H138">
        <v>190.72800000000001</v>
      </c>
      <c r="J138">
        <v>220.24</v>
      </c>
      <c r="K138" s="21"/>
      <c r="N138" s="27">
        <v>44.048000000000002</v>
      </c>
      <c r="O138" s="28">
        <v>44.048000000000002</v>
      </c>
      <c r="R138" s="22">
        <v>146.68</v>
      </c>
      <c r="T138" s="10">
        <v>339.05599999999998</v>
      </c>
      <c r="V138" s="10">
        <v>343.93299999999999</v>
      </c>
      <c r="W138" s="21"/>
    </row>
    <row r="139" spans="1:23" x14ac:dyDescent="0.2">
      <c r="A139" s="20" t="s">
        <v>34</v>
      </c>
      <c r="B139" s="16">
        <v>42.703000000000003</v>
      </c>
      <c r="D139">
        <v>99.498999999999995</v>
      </c>
      <c r="F139" s="10">
        <v>142.202</v>
      </c>
      <c r="H139">
        <v>184.90600000000001</v>
      </c>
      <c r="J139">
        <v>213.517</v>
      </c>
      <c r="K139" s="21"/>
      <c r="N139" s="27">
        <v>42.703000000000003</v>
      </c>
      <c r="O139" s="28">
        <v>42.703000000000003</v>
      </c>
      <c r="R139" s="22">
        <v>142.202</v>
      </c>
      <c r="T139" s="10">
        <v>141.047</v>
      </c>
      <c r="V139" s="10">
        <v>146.179</v>
      </c>
      <c r="W139" s="21"/>
    </row>
    <row r="140" spans="1:23" x14ac:dyDescent="0.2">
      <c r="A140" s="20" t="s">
        <v>35</v>
      </c>
      <c r="B140" s="16">
        <v>19.132999999999999</v>
      </c>
      <c r="D140">
        <v>44.581000000000003</v>
      </c>
      <c r="F140" s="10">
        <v>63.713999999999999</v>
      </c>
      <c r="H140">
        <v>82.847999999999999</v>
      </c>
      <c r="J140">
        <v>95.667000000000002</v>
      </c>
      <c r="K140" s="21"/>
      <c r="N140" s="27">
        <v>19.132999999999999</v>
      </c>
      <c r="O140" s="28">
        <v>19.132999999999999</v>
      </c>
      <c r="R140" s="22">
        <v>63.713999999999999</v>
      </c>
      <c r="T140" s="10">
        <v>39.728999999999999</v>
      </c>
      <c r="V140" s="10">
        <v>26.388999999999999</v>
      </c>
      <c r="W140" s="21"/>
    </row>
    <row r="141" spans="1:23" x14ac:dyDescent="0.2">
      <c r="A141" s="20" t="s">
        <v>36</v>
      </c>
      <c r="B141" s="16">
        <v>4.1710000000000003</v>
      </c>
      <c r="D141">
        <v>9.7170000000000005</v>
      </c>
      <c r="F141" s="10">
        <v>13.888</v>
      </c>
      <c r="H141">
        <v>18.059000000000001</v>
      </c>
      <c r="J141">
        <v>20.853000000000002</v>
      </c>
      <c r="K141" s="21"/>
      <c r="N141" s="27">
        <v>4.1710000000000003</v>
      </c>
      <c r="O141" s="28">
        <v>4.1710000000000003</v>
      </c>
      <c r="R141" s="22">
        <v>13.888</v>
      </c>
      <c r="T141" s="10">
        <v>13.894</v>
      </c>
      <c r="V141" s="10">
        <v>13.891999999999999</v>
      </c>
      <c r="W141" s="21"/>
    </row>
    <row r="142" spans="1:23" x14ac:dyDescent="0.2">
      <c r="A142" s="20" t="s">
        <v>37</v>
      </c>
      <c r="B142" s="16">
        <v>4.1749999999999998</v>
      </c>
      <c r="D142">
        <v>9.7279999999999998</v>
      </c>
      <c r="F142" s="10">
        <v>13.903</v>
      </c>
      <c r="H142">
        <v>18.079000000000001</v>
      </c>
      <c r="J142">
        <v>20.876000000000001</v>
      </c>
      <c r="K142" s="21"/>
      <c r="N142" s="27">
        <v>4.1749999999999998</v>
      </c>
      <c r="O142" s="28">
        <v>4.1749999999999998</v>
      </c>
      <c r="R142" s="22">
        <v>13.903</v>
      </c>
      <c r="T142" s="10">
        <v>13.903</v>
      </c>
      <c r="V142" s="10">
        <v>13.903</v>
      </c>
      <c r="W142" s="21"/>
    </row>
    <row r="143" spans="1:23" x14ac:dyDescent="0.2">
      <c r="A143" s="20" t="s">
        <v>26</v>
      </c>
      <c r="B143" s="16">
        <v>4.1749999999999998</v>
      </c>
      <c r="D143">
        <v>9.7279999999999998</v>
      </c>
      <c r="F143" s="10">
        <v>13.903</v>
      </c>
      <c r="H143">
        <v>18.079000000000001</v>
      </c>
      <c r="J143">
        <v>20.876000000000001</v>
      </c>
      <c r="K143" s="21"/>
      <c r="N143" s="27">
        <v>4.1749999999999998</v>
      </c>
      <c r="O143" s="28">
        <v>4.1749999999999998</v>
      </c>
      <c r="R143" s="22">
        <v>13.903</v>
      </c>
      <c r="T143" s="10">
        <v>13.903</v>
      </c>
      <c r="V143" s="10">
        <v>13.903</v>
      </c>
      <c r="W143" s="21"/>
    </row>
    <row r="144" spans="1:23" x14ac:dyDescent="0.2">
      <c r="A144" s="20" t="s">
        <v>27</v>
      </c>
      <c r="B144" s="16">
        <v>4.16</v>
      </c>
      <c r="D144">
        <v>9.6929999999999996</v>
      </c>
      <c r="F144" s="10">
        <v>13.853999999999999</v>
      </c>
      <c r="H144">
        <v>18.013999999999999</v>
      </c>
      <c r="J144">
        <v>20.800999999999998</v>
      </c>
      <c r="K144" s="21"/>
      <c r="N144" s="27">
        <v>4.16</v>
      </c>
      <c r="O144" s="28">
        <v>4.16</v>
      </c>
      <c r="R144" s="22">
        <v>13.853999999999999</v>
      </c>
      <c r="T144" s="10">
        <v>13.853999999999999</v>
      </c>
      <c r="V144" s="10">
        <v>13.853999999999999</v>
      </c>
      <c r="W144" s="21"/>
    </row>
    <row r="145" spans="1:23" x14ac:dyDescent="0.2">
      <c r="A145" s="20" t="s">
        <v>28</v>
      </c>
      <c r="B145" s="16">
        <v>4.5670000000000002</v>
      </c>
      <c r="D145">
        <v>10.64</v>
      </c>
      <c r="F145" s="10">
        <v>15.207000000000001</v>
      </c>
      <c r="H145">
        <v>19.773</v>
      </c>
      <c r="J145">
        <v>22.832999999999998</v>
      </c>
      <c r="K145" s="21"/>
      <c r="N145" s="27">
        <v>4.5670000000000002</v>
      </c>
      <c r="O145" s="28">
        <v>4.5670000000000002</v>
      </c>
      <c r="R145" s="22">
        <v>15.207000000000001</v>
      </c>
      <c r="T145" s="10">
        <v>14.044</v>
      </c>
      <c r="V145" s="10">
        <v>14.121</v>
      </c>
      <c r="W145" s="21"/>
    </row>
    <row r="146" spans="1:23" x14ac:dyDescent="0.2">
      <c r="A146" s="20" t="s">
        <v>29</v>
      </c>
      <c r="B146" s="16">
        <v>42.21</v>
      </c>
      <c r="D146">
        <v>98.349000000000004</v>
      </c>
      <c r="F146" s="10">
        <v>140.55799999999999</v>
      </c>
      <c r="H146">
        <v>182.768</v>
      </c>
      <c r="J146">
        <v>211.048</v>
      </c>
      <c r="K146" s="21"/>
      <c r="N146" s="27">
        <v>42.21</v>
      </c>
      <c r="O146" s="28">
        <v>42.21</v>
      </c>
      <c r="R146" s="22">
        <v>140.55799999999999</v>
      </c>
      <c r="T146" s="10">
        <v>29.632999999999999</v>
      </c>
      <c r="V146" s="10">
        <v>43.951999999999998</v>
      </c>
      <c r="W146" s="21"/>
    </row>
    <row r="147" spans="1:23" x14ac:dyDescent="0.2">
      <c r="A147" s="20" t="s">
        <v>30</v>
      </c>
      <c r="B147" s="16">
        <v>143.93899999999999</v>
      </c>
      <c r="D147">
        <v>335.37900000000002</v>
      </c>
      <c r="F147" s="10">
        <v>479.31900000000002</v>
      </c>
      <c r="H147">
        <v>623.25800000000004</v>
      </c>
      <c r="J147">
        <v>719.69799999999998</v>
      </c>
      <c r="K147" s="21"/>
      <c r="N147" s="27">
        <v>143.93899999999999</v>
      </c>
      <c r="O147" s="28">
        <v>143.93899999999999</v>
      </c>
      <c r="R147" s="22">
        <v>479.31900000000002</v>
      </c>
      <c r="T147" s="10">
        <v>389.53100000000001</v>
      </c>
      <c r="V147" s="10">
        <v>339.11399999999998</v>
      </c>
      <c r="W147" s="21"/>
    </row>
    <row r="148" spans="1:23" x14ac:dyDescent="0.2">
      <c r="A148" s="20" t="s">
        <v>31</v>
      </c>
      <c r="B148" s="16">
        <v>109.765</v>
      </c>
      <c r="D148">
        <v>255.75299999999999</v>
      </c>
      <c r="F148" s="10">
        <v>365.51799999999997</v>
      </c>
      <c r="H148">
        <v>475.28399999999999</v>
      </c>
      <c r="J148">
        <v>548.82600000000002</v>
      </c>
      <c r="K148" s="21"/>
      <c r="N148" s="27">
        <v>109.765</v>
      </c>
      <c r="O148" s="28">
        <v>109.765</v>
      </c>
      <c r="R148" s="22">
        <v>365.51799999999997</v>
      </c>
      <c r="T148" s="10">
        <v>528.27499999999998</v>
      </c>
      <c r="V148" s="10">
        <v>700.44399999999996</v>
      </c>
      <c r="W148" s="21"/>
    </row>
    <row r="149" spans="1:23" x14ac:dyDescent="0.2">
      <c r="A149" s="20" t="s">
        <v>32</v>
      </c>
      <c r="B149" s="16">
        <v>38.447000000000003</v>
      </c>
      <c r="D149">
        <v>89.581000000000003</v>
      </c>
      <c r="F149" s="10">
        <v>128.02799999999999</v>
      </c>
      <c r="H149">
        <v>166.47499999999999</v>
      </c>
      <c r="J149">
        <v>192.23400000000001</v>
      </c>
      <c r="K149" s="21"/>
      <c r="N149" s="27">
        <v>38.447000000000003</v>
      </c>
      <c r="O149" s="28">
        <v>38.447000000000003</v>
      </c>
      <c r="R149" s="22">
        <v>128.02799999999999</v>
      </c>
      <c r="T149" s="10">
        <v>385.524</v>
      </c>
      <c r="V149" s="10">
        <v>428.27100000000002</v>
      </c>
      <c r="W149" s="21"/>
    </row>
    <row r="150" spans="1:23" x14ac:dyDescent="0.2">
      <c r="A150" s="20" t="s">
        <v>33</v>
      </c>
      <c r="B150" s="16">
        <v>46.435000000000002</v>
      </c>
      <c r="D150">
        <v>108.194</v>
      </c>
      <c r="F150" s="10">
        <v>154.62899999999999</v>
      </c>
      <c r="H150">
        <v>201.06399999999999</v>
      </c>
      <c r="J150">
        <v>232.17500000000001</v>
      </c>
      <c r="K150" s="21"/>
      <c r="N150" s="27">
        <v>46.435000000000002</v>
      </c>
      <c r="O150" s="28">
        <v>46.435000000000002</v>
      </c>
      <c r="R150" s="22">
        <v>154.62899999999999</v>
      </c>
      <c r="T150" s="10">
        <v>298.101</v>
      </c>
      <c r="V150" s="10">
        <v>256.59699999999998</v>
      </c>
      <c r="W150" s="21"/>
    </row>
    <row r="151" spans="1:23" x14ac:dyDescent="0.2">
      <c r="A151" s="20" t="s">
        <v>34</v>
      </c>
      <c r="B151" s="16">
        <v>28.814</v>
      </c>
      <c r="D151">
        <v>67.138000000000005</v>
      </c>
      <c r="F151" s="10">
        <v>95.951999999999998</v>
      </c>
      <c r="H151">
        <v>124.767</v>
      </c>
      <c r="J151">
        <v>144.072</v>
      </c>
      <c r="K151" s="21"/>
      <c r="N151" s="27">
        <v>28.814</v>
      </c>
      <c r="O151" s="28">
        <v>28.814</v>
      </c>
      <c r="R151" s="22">
        <v>95.951999999999998</v>
      </c>
      <c r="T151" s="10">
        <v>181.922</v>
      </c>
      <c r="V151" s="10">
        <v>191.25700000000001</v>
      </c>
      <c r="W151" s="21"/>
    </row>
    <row r="152" spans="1:23" x14ac:dyDescent="0.2">
      <c r="A152" s="20" t="s">
        <v>35</v>
      </c>
      <c r="B152" s="16">
        <v>44.826000000000001</v>
      </c>
      <c r="D152">
        <v>104.444</v>
      </c>
      <c r="F152" s="10">
        <v>149.27000000000001</v>
      </c>
      <c r="H152">
        <v>194.096</v>
      </c>
      <c r="J152">
        <v>224.13</v>
      </c>
      <c r="K152" s="21"/>
      <c r="N152" s="27">
        <v>44.826000000000001</v>
      </c>
      <c r="O152" s="28">
        <v>44.826000000000001</v>
      </c>
      <c r="R152" s="22">
        <v>149.27000000000001</v>
      </c>
      <c r="T152" s="10">
        <v>77.004000000000005</v>
      </c>
      <c r="V152" s="10">
        <v>94.236000000000004</v>
      </c>
      <c r="W152" s="21"/>
    </row>
    <row r="153" spans="1:23" x14ac:dyDescent="0.2">
      <c r="A153" s="20" t="s">
        <v>36</v>
      </c>
      <c r="B153" s="16">
        <v>4.7130000000000001</v>
      </c>
      <c r="D153">
        <v>10.98</v>
      </c>
      <c r="F153" s="10">
        <v>15.693</v>
      </c>
      <c r="H153">
        <v>20.405999999999999</v>
      </c>
      <c r="J153">
        <v>23.562999999999999</v>
      </c>
      <c r="K153" s="21"/>
      <c r="N153" s="27">
        <v>4.7130000000000001</v>
      </c>
      <c r="O153" s="28">
        <v>4.7130000000000001</v>
      </c>
      <c r="R153" s="22">
        <v>15.693</v>
      </c>
      <c r="T153" s="10">
        <v>14.965</v>
      </c>
      <c r="V153" s="10">
        <v>14.954000000000001</v>
      </c>
      <c r="W153" s="21"/>
    </row>
    <row r="154" spans="1:23" x14ac:dyDescent="0.2">
      <c r="A154" s="20" t="s">
        <v>37</v>
      </c>
      <c r="B154" s="16">
        <v>4.1749999999999998</v>
      </c>
      <c r="D154">
        <v>9.7279999999999998</v>
      </c>
      <c r="F154" s="10">
        <v>13.903</v>
      </c>
      <c r="H154">
        <v>18.079000000000001</v>
      </c>
      <c r="J154">
        <v>20.876000000000001</v>
      </c>
      <c r="K154" s="21"/>
      <c r="N154" s="27">
        <v>4.1749999999999998</v>
      </c>
      <c r="O154" s="28">
        <v>4.1749999999999998</v>
      </c>
      <c r="R154" s="22">
        <v>13.903</v>
      </c>
      <c r="T154" s="10">
        <v>13.903</v>
      </c>
      <c r="V154" s="10">
        <v>13.903</v>
      </c>
      <c r="W154" s="21"/>
    </row>
    <row r="155" spans="1:23" x14ac:dyDescent="0.2">
      <c r="A155" s="20" t="s">
        <v>26</v>
      </c>
      <c r="B155" s="16">
        <v>4.1749999999999998</v>
      </c>
      <c r="D155">
        <v>9.7279999999999998</v>
      </c>
      <c r="F155" s="10">
        <v>13.903</v>
      </c>
      <c r="H155">
        <v>18.079000000000001</v>
      </c>
      <c r="J155">
        <v>20.876000000000001</v>
      </c>
      <c r="K155" s="21"/>
      <c r="N155" s="27">
        <v>4.1749999999999998</v>
      </c>
      <c r="O155" s="28">
        <v>4.1749999999999998</v>
      </c>
      <c r="R155" s="22">
        <v>13.903</v>
      </c>
      <c r="T155" s="10">
        <v>13.903</v>
      </c>
      <c r="V155" s="10">
        <v>13.903</v>
      </c>
      <c r="W155" s="21"/>
    </row>
    <row r="156" spans="1:23" x14ac:dyDescent="0.2">
      <c r="A156" s="20" t="s">
        <v>27</v>
      </c>
      <c r="B156" s="16">
        <v>4.16</v>
      </c>
      <c r="D156">
        <v>9.6929999999999996</v>
      </c>
      <c r="F156" s="10">
        <v>13.853999999999999</v>
      </c>
      <c r="H156">
        <v>18.013999999999999</v>
      </c>
      <c r="J156">
        <v>20.800999999999998</v>
      </c>
      <c r="K156" s="21"/>
      <c r="N156" s="27">
        <v>4.16</v>
      </c>
      <c r="O156" s="28">
        <v>4.16</v>
      </c>
      <c r="R156" s="22">
        <v>13.853999999999999</v>
      </c>
      <c r="T156" s="10">
        <v>13.853999999999999</v>
      </c>
      <c r="V156" s="10">
        <v>13.853999999999999</v>
      </c>
      <c r="W156" s="21"/>
    </row>
    <row r="157" spans="1:23" x14ac:dyDescent="0.2">
      <c r="A157" s="20" t="s">
        <v>28</v>
      </c>
      <c r="B157" s="16">
        <v>4.2160000000000002</v>
      </c>
      <c r="D157">
        <v>9.8239999999999998</v>
      </c>
      <c r="F157" s="10">
        <v>14.04</v>
      </c>
      <c r="H157">
        <v>18.256</v>
      </c>
      <c r="J157">
        <v>21.081</v>
      </c>
      <c r="K157" s="21"/>
      <c r="N157" s="27">
        <v>4.2160000000000002</v>
      </c>
      <c r="O157" s="28">
        <v>4.2160000000000002</v>
      </c>
      <c r="R157" s="22">
        <v>14.04</v>
      </c>
      <c r="T157" s="10">
        <v>13.903</v>
      </c>
      <c r="V157" s="10">
        <v>13.903</v>
      </c>
      <c r="W157" s="21"/>
    </row>
    <row r="158" spans="1:23" x14ac:dyDescent="0.2">
      <c r="A158" s="20" t="s">
        <v>29</v>
      </c>
      <c r="B158" s="16">
        <v>19.888000000000002</v>
      </c>
      <c r="D158">
        <v>46.34</v>
      </c>
      <c r="F158" s="10">
        <v>66.227999999999994</v>
      </c>
      <c r="H158">
        <v>86.117000000000004</v>
      </c>
      <c r="J158">
        <v>99.441999999999993</v>
      </c>
      <c r="K158" s="21"/>
      <c r="N158" s="27">
        <v>19.888000000000002</v>
      </c>
      <c r="O158" s="28">
        <v>19.888000000000002</v>
      </c>
      <c r="R158" s="22">
        <v>66.227999999999994</v>
      </c>
      <c r="T158" s="10">
        <v>20.253</v>
      </c>
      <c r="V158" s="10">
        <v>18.568999999999999</v>
      </c>
      <c r="W158" s="21"/>
    </row>
    <row r="159" spans="1:23" x14ac:dyDescent="0.2">
      <c r="A159" s="20" t="s">
        <v>30</v>
      </c>
      <c r="B159" s="16">
        <v>120.509</v>
      </c>
      <c r="D159">
        <v>280.786</v>
      </c>
      <c r="F159" s="10">
        <v>401.29500000000002</v>
      </c>
      <c r="H159">
        <v>521.803</v>
      </c>
      <c r="J159">
        <v>602.54399999999998</v>
      </c>
      <c r="K159" s="21"/>
      <c r="N159" s="27">
        <v>120.509</v>
      </c>
      <c r="O159" s="28">
        <v>120.509</v>
      </c>
      <c r="R159" s="22">
        <v>401.29500000000002</v>
      </c>
      <c r="T159" s="10">
        <v>256.55900000000003</v>
      </c>
      <c r="V159" s="10">
        <v>171.178</v>
      </c>
      <c r="W159" s="21"/>
    </row>
    <row r="160" spans="1:23" x14ac:dyDescent="0.2">
      <c r="A160" s="20" t="s">
        <v>31</v>
      </c>
      <c r="B160" s="16">
        <v>143.92400000000001</v>
      </c>
      <c r="D160">
        <v>335.34199999999998</v>
      </c>
      <c r="F160" s="10">
        <v>479.26600000000002</v>
      </c>
      <c r="H160">
        <v>623.19000000000005</v>
      </c>
      <c r="J160">
        <v>719.61900000000003</v>
      </c>
      <c r="K160" s="21"/>
      <c r="N160" s="27">
        <v>143.92400000000001</v>
      </c>
      <c r="O160" s="28">
        <v>143.92400000000001</v>
      </c>
      <c r="R160" s="22">
        <v>479.26600000000002</v>
      </c>
      <c r="T160" s="10">
        <v>453.80700000000002</v>
      </c>
      <c r="V160" s="10">
        <v>580.22500000000002</v>
      </c>
      <c r="W160" s="21"/>
    </row>
    <row r="161" spans="1:23" x14ac:dyDescent="0.2">
      <c r="A161" s="20" t="s">
        <v>32</v>
      </c>
      <c r="B161" s="16">
        <v>77.424000000000007</v>
      </c>
      <c r="D161">
        <v>180.398</v>
      </c>
      <c r="F161" s="10">
        <v>257.82299999999998</v>
      </c>
      <c r="H161">
        <v>335.24700000000001</v>
      </c>
      <c r="J161">
        <v>387.12099999999998</v>
      </c>
      <c r="K161" s="21"/>
      <c r="N161" s="27">
        <v>77.424000000000007</v>
      </c>
      <c r="O161" s="28">
        <v>77.424000000000007</v>
      </c>
      <c r="R161" s="22">
        <v>257.82299999999998</v>
      </c>
      <c r="T161" s="10">
        <v>552.67600000000004</v>
      </c>
      <c r="V161" s="10">
        <v>618.97400000000005</v>
      </c>
      <c r="W161" s="21"/>
    </row>
    <row r="162" spans="1:23" x14ac:dyDescent="0.2">
      <c r="A162" s="20" t="s">
        <v>33</v>
      </c>
      <c r="B162" s="16">
        <v>55.807000000000002</v>
      </c>
      <c r="D162">
        <v>130.03100000000001</v>
      </c>
      <c r="F162" s="10">
        <v>185.839</v>
      </c>
      <c r="H162">
        <v>241.64599999999999</v>
      </c>
      <c r="J162">
        <v>279.03699999999998</v>
      </c>
      <c r="K162" s="21"/>
      <c r="N162" s="27">
        <v>55.807000000000002</v>
      </c>
      <c r="O162" s="28">
        <v>55.807000000000002</v>
      </c>
      <c r="R162" s="22">
        <v>185.839</v>
      </c>
      <c r="T162" s="10">
        <v>446.34100000000001</v>
      </c>
      <c r="V162" s="10">
        <v>436.63400000000001</v>
      </c>
      <c r="W162" s="21"/>
    </row>
    <row r="163" spans="1:23" x14ac:dyDescent="0.2">
      <c r="A163" s="20" t="s">
        <v>34</v>
      </c>
      <c r="B163" s="16">
        <v>52.561999999999998</v>
      </c>
      <c r="D163">
        <v>122.468</v>
      </c>
      <c r="F163" s="10">
        <v>175.03</v>
      </c>
      <c r="H163">
        <v>227.59200000000001</v>
      </c>
      <c r="J163">
        <v>262.80799999999999</v>
      </c>
      <c r="K163" s="21"/>
      <c r="N163" s="27">
        <v>52.561999999999998</v>
      </c>
      <c r="O163" s="28">
        <v>52.561999999999998</v>
      </c>
      <c r="R163" s="22">
        <v>175.03</v>
      </c>
      <c r="T163" s="10">
        <v>159.38499999999999</v>
      </c>
      <c r="V163" s="10">
        <v>182.10400000000001</v>
      </c>
      <c r="W163" s="21"/>
    </row>
    <row r="164" spans="1:23" x14ac:dyDescent="0.2">
      <c r="A164" s="20" t="s">
        <v>35</v>
      </c>
      <c r="B164" s="16">
        <v>23.113</v>
      </c>
      <c r="D164">
        <v>53.853999999999999</v>
      </c>
      <c r="F164" s="10">
        <v>76.968000000000004</v>
      </c>
      <c r="H164">
        <v>100.081</v>
      </c>
      <c r="J164">
        <v>115.56699999999999</v>
      </c>
      <c r="K164" s="21"/>
      <c r="N164" s="27">
        <v>23.113</v>
      </c>
      <c r="O164" s="28">
        <v>23.113</v>
      </c>
      <c r="R164" s="22">
        <v>76.968000000000004</v>
      </c>
      <c r="T164" s="10">
        <v>45.692999999999998</v>
      </c>
      <c r="V164" s="10">
        <v>40.881999999999998</v>
      </c>
      <c r="W164" s="21"/>
    </row>
    <row r="165" spans="1:23" x14ac:dyDescent="0.2">
      <c r="A165" s="20" t="s">
        <v>36</v>
      </c>
      <c r="B165" s="16">
        <v>4.1859999999999999</v>
      </c>
      <c r="D165">
        <v>9.7530000000000001</v>
      </c>
      <c r="F165" s="10">
        <v>13.938000000000001</v>
      </c>
      <c r="H165">
        <v>18.123999999999999</v>
      </c>
      <c r="J165">
        <v>20.928000000000001</v>
      </c>
      <c r="K165" s="21"/>
      <c r="N165" s="27">
        <v>4.1859999999999999</v>
      </c>
      <c r="O165" s="28">
        <v>4.1859999999999999</v>
      </c>
      <c r="R165" s="22">
        <v>13.938000000000001</v>
      </c>
      <c r="T165" s="10">
        <v>13.91</v>
      </c>
      <c r="V165" s="10">
        <v>14.769</v>
      </c>
      <c r="W165" s="21"/>
    </row>
    <row r="166" spans="1:23" x14ac:dyDescent="0.2">
      <c r="A166" s="20" t="s">
        <v>37</v>
      </c>
      <c r="B166" s="16">
        <v>4.1749999999999998</v>
      </c>
      <c r="D166">
        <v>9.7279999999999998</v>
      </c>
      <c r="F166" s="10">
        <v>13.903</v>
      </c>
      <c r="H166">
        <v>18.079000000000001</v>
      </c>
      <c r="J166">
        <v>20.876000000000001</v>
      </c>
      <c r="K166" s="21"/>
      <c r="N166" s="27">
        <v>4.1749999999999998</v>
      </c>
      <c r="O166" s="28">
        <v>4.1749999999999998</v>
      </c>
      <c r="R166" s="22">
        <v>13.903</v>
      </c>
      <c r="T166" s="10">
        <v>13.903</v>
      </c>
      <c r="V166" s="10">
        <v>13.903</v>
      </c>
      <c r="W166" s="21"/>
    </row>
    <row r="167" spans="1:23" x14ac:dyDescent="0.2">
      <c r="A167" s="20" t="s">
        <v>26</v>
      </c>
      <c r="B167" s="16">
        <v>4.1749999999999998</v>
      </c>
      <c r="D167">
        <v>9.7279999999999998</v>
      </c>
      <c r="F167" s="10">
        <v>13.903</v>
      </c>
      <c r="H167">
        <v>18.079000000000001</v>
      </c>
      <c r="J167">
        <v>20.876000000000001</v>
      </c>
      <c r="K167" s="21"/>
      <c r="N167" s="27">
        <v>4.1749999999999998</v>
      </c>
      <c r="O167" s="28">
        <v>4.1749999999999998</v>
      </c>
      <c r="R167" s="22">
        <v>13.903</v>
      </c>
      <c r="T167" s="10">
        <v>13.903</v>
      </c>
      <c r="V167" s="10">
        <v>13.903</v>
      </c>
      <c r="W167" s="21"/>
    </row>
    <row r="168" spans="1:23" x14ac:dyDescent="0.2">
      <c r="A168" s="20" t="s">
        <v>27</v>
      </c>
      <c r="B168" s="16">
        <v>4.16</v>
      </c>
      <c r="D168">
        <v>9.6929999999999996</v>
      </c>
      <c r="F168" s="10">
        <v>13.853999999999999</v>
      </c>
      <c r="H168">
        <v>18.013999999999999</v>
      </c>
      <c r="J168">
        <v>20.800999999999998</v>
      </c>
      <c r="K168" s="21"/>
      <c r="N168" s="27">
        <v>4.16</v>
      </c>
      <c r="O168" s="28">
        <v>4.16</v>
      </c>
      <c r="R168" s="22">
        <v>13.853999999999999</v>
      </c>
      <c r="T168" s="10">
        <v>13.853999999999999</v>
      </c>
      <c r="V168" s="10">
        <v>13.853999999999999</v>
      </c>
      <c r="W168" s="21"/>
    </row>
    <row r="169" spans="1:23" x14ac:dyDescent="0.2">
      <c r="A169" s="20" t="s">
        <v>28</v>
      </c>
      <c r="B169" s="16">
        <v>5.0720000000000001</v>
      </c>
      <c r="D169">
        <v>11.818</v>
      </c>
      <c r="F169" s="10">
        <v>16.89</v>
      </c>
      <c r="H169">
        <v>21.962</v>
      </c>
      <c r="J169">
        <v>25.361000000000001</v>
      </c>
      <c r="K169" s="21"/>
      <c r="N169" s="27">
        <v>5.0720000000000001</v>
      </c>
      <c r="O169" s="28">
        <v>5.0720000000000001</v>
      </c>
      <c r="R169" s="22">
        <v>16.89</v>
      </c>
      <c r="T169" s="10">
        <v>13.923</v>
      </c>
      <c r="V169" s="10">
        <v>14.228</v>
      </c>
      <c r="W169" s="21"/>
    </row>
    <row r="170" spans="1:23" x14ac:dyDescent="0.2">
      <c r="A170" s="20" t="s">
        <v>29</v>
      </c>
      <c r="B170" s="16">
        <v>39.238999999999997</v>
      </c>
      <c r="D170">
        <v>91.427999999999997</v>
      </c>
      <c r="F170" s="10">
        <v>130.667</v>
      </c>
      <c r="H170">
        <v>169.90700000000001</v>
      </c>
      <c r="J170">
        <v>196.197</v>
      </c>
      <c r="K170" s="21"/>
      <c r="N170" s="27">
        <v>39.238999999999997</v>
      </c>
      <c r="O170" s="28">
        <v>39.238999999999997</v>
      </c>
      <c r="R170" s="22">
        <v>130.667</v>
      </c>
      <c r="T170" s="10">
        <v>32.319000000000003</v>
      </c>
      <c r="V170" s="10">
        <v>39.17</v>
      </c>
      <c r="W170" s="21"/>
    </row>
    <row r="171" spans="1:23" x14ac:dyDescent="0.2">
      <c r="A171" s="20" t="s">
        <v>30</v>
      </c>
      <c r="B171" s="16">
        <v>151.20500000000001</v>
      </c>
      <c r="D171">
        <v>352.30700000000002</v>
      </c>
      <c r="F171" s="10">
        <v>503.51100000000002</v>
      </c>
      <c r="H171">
        <v>654.71600000000001</v>
      </c>
      <c r="J171">
        <v>756.02300000000002</v>
      </c>
      <c r="K171" s="21"/>
      <c r="N171" s="27">
        <v>151.20500000000001</v>
      </c>
      <c r="O171" s="28">
        <v>151.20500000000001</v>
      </c>
      <c r="R171" s="22">
        <v>503.51100000000002</v>
      </c>
      <c r="T171" s="10">
        <v>386.94099999999997</v>
      </c>
      <c r="V171" s="10">
        <v>328.90800000000002</v>
      </c>
      <c r="W171" s="21"/>
    </row>
    <row r="172" spans="1:23" x14ac:dyDescent="0.2">
      <c r="A172" s="20" t="s">
        <v>31</v>
      </c>
      <c r="B172" s="16">
        <v>140.31899999999999</v>
      </c>
      <c r="D172">
        <v>326.94299999999998</v>
      </c>
      <c r="F172" s="10">
        <v>467.262</v>
      </c>
      <c r="H172">
        <v>607.58100000000002</v>
      </c>
      <c r="J172">
        <v>701.59400000000005</v>
      </c>
      <c r="K172" s="21"/>
      <c r="N172" s="27">
        <v>140.31899999999999</v>
      </c>
      <c r="O172" s="28">
        <v>140.31899999999999</v>
      </c>
      <c r="R172" s="22">
        <v>467.262</v>
      </c>
      <c r="T172" s="10">
        <v>569.18200000000002</v>
      </c>
      <c r="V172" s="10">
        <v>666.56600000000003</v>
      </c>
      <c r="W172" s="21"/>
    </row>
    <row r="173" spans="1:23" x14ac:dyDescent="0.2">
      <c r="A173" s="20" t="s">
        <v>32</v>
      </c>
      <c r="B173" s="16">
        <v>57.573999999999998</v>
      </c>
      <c r="D173">
        <v>134.14699999999999</v>
      </c>
      <c r="F173" s="10">
        <v>191.721</v>
      </c>
      <c r="H173">
        <v>249.29499999999999</v>
      </c>
      <c r="J173">
        <v>287.87</v>
      </c>
      <c r="K173" s="21"/>
      <c r="N173" s="27">
        <v>57.573999999999998</v>
      </c>
      <c r="O173" s="28">
        <v>57.573999999999998</v>
      </c>
      <c r="R173" s="22">
        <v>191.721</v>
      </c>
      <c r="T173" s="10">
        <v>533.70899999999995</v>
      </c>
      <c r="V173" s="10">
        <v>637.47799999999995</v>
      </c>
      <c r="W173" s="21"/>
    </row>
    <row r="174" spans="1:23" x14ac:dyDescent="0.2">
      <c r="A174" s="20" t="s">
        <v>33</v>
      </c>
      <c r="B174" s="16">
        <v>37.109000000000002</v>
      </c>
      <c r="D174">
        <v>86.462999999999994</v>
      </c>
      <c r="F174" s="10">
        <v>123.572</v>
      </c>
      <c r="H174">
        <v>160.68100000000001</v>
      </c>
      <c r="J174">
        <v>185.54400000000001</v>
      </c>
      <c r="K174" s="21"/>
      <c r="N174" s="27">
        <v>37.109000000000002</v>
      </c>
      <c r="O174" s="28">
        <v>37.109000000000002</v>
      </c>
      <c r="R174" s="22">
        <v>123.572</v>
      </c>
      <c r="T174" s="10">
        <v>389.47399999999999</v>
      </c>
      <c r="V174" s="10">
        <v>332.964</v>
      </c>
      <c r="W174" s="21"/>
    </row>
    <row r="175" spans="1:23" x14ac:dyDescent="0.2">
      <c r="A175" s="20" t="s">
        <v>34</v>
      </c>
      <c r="B175" s="16">
        <v>64.536000000000001</v>
      </c>
      <c r="D175">
        <v>150.37</v>
      </c>
      <c r="F175" s="10">
        <v>214.90600000000001</v>
      </c>
      <c r="H175">
        <v>279.44299999999998</v>
      </c>
      <c r="J175">
        <v>322.68200000000002</v>
      </c>
      <c r="K175" s="21"/>
      <c r="N175" s="27">
        <v>64.536000000000001</v>
      </c>
      <c r="O175" s="28">
        <v>64.536000000000001</v>
      </c>
      <c r="R175" s="22">
        <v>214.90600000000001</v>
      </c>
      <c r="T175" s="10">
        <v>133.15</v>
      </c>
      <c r="V175" s="10">
        <v>206.22499999999999</v>
      </c>
      <c r="W175" s="21"/>
    </row>
    <row r="176" spans="1:23" x14ac:dyDescent="0.2">
      <c r="A176" s="20" t="s">
        <v>35</v>
      </c>
      <c r="B176" s="16">
        <v>36.055999999999997</v>
      </c>
      <c r="D176">
        <v>84.01</v>
      </c>
      <c r="F176" s="10">
        <v>120.066</v>
      </c>
      <c r="H176">
        <v>156.12200000000001</v>
      </c>
      <c r="J176">
        <v>180.28</v>
      </c>
      <c r="K176" s="21"/>
      <c r="N176" s="27">
        <v>36.055999999999997</v>
      </c>
      <c r="O176" s="28">
        <v>36.055999999999997</v>
      </c>
      <c r="R176" s="22">
        <v>120.066</v>
      </c>
      <c r="T176" s="10">
        <v>130.613</v>
      </c>
      <c r="V176" s="10">
        <v>64.084999999999994</v>
      </c>
      <c r="W176" s="21"/>
    </row>
    <row r="177" spans="1:23" x14ac:dyDescent="0.2">
      <c r="A177" s="20" t="s">
        <v>36</v>
      </c>
      <c r="B177" s="16">
        <v>4.5309999999999997</v>
      </c>
      <c r="D177">
        <v>10.557</v>
      </c>
      <c r="F177" s="10">
        <v>15.089</v>
      </c>
      <c r="H177">
        <v>19.62</v>
      </c>
      <c r="J177">
        <v>22.655999999999999</v>
      </c>
      <c r="K177" s="21"/>
      <c r="N177" s="27">
        <v>4.5309999999999997</v>
      </c>
      <c r="O177" s="28">
        <v>4.5309999999999997</v>
      </c>
      <c r="R177" s="22">
        <v>15.089</v>
      </c>
      <c r="T177" s="10">
        <v>14.025</v>
      </c>
      <c r="V177" s="10">
        <v>15.04</v>
      </c>
      <c r="W177" s="21"/>
    </row>
    <row r="178" spans="1:23" x14ac:dyDescent="0.2">
      <c r="A178" s="20" t="s">
        <v>37</v>
      </c>
      <c r="B178" s="16">
        <v>4.1749999999999998</v>
      </c>
      <c r="D178">
        <v>9.7279999999999998</v>
      </c>
      <c r="F178" s="10">
        <v>13.903</v>
      </c>
      <c r="H178">
        <v>18.079000000000001</v>
      </c>
      <c r="J178">
        <v>20.876000000000001</v>
      </c>
      <c r="K178" s="21"/>
      <c r="N178" s="27">
        <v>4.1749999999999998</v>
      </c>
      <c r="O178" s="28">
        <v>4.1749999999999998</v>
      </c>
      <c r="R178" s="22">
        <v>13.903</v>
      </c>
      <c r="T178" s="10">
        <v>13.903</v>
      </c>
      <c r="V178" s="10">
        <v>13.903</v>
      </c>
      <c r="W178" s="21"/>
    </row>
    <row r="179" spans="1:23" x14ac:dyDescent="0.2">
      <c r="A179" s="20" t="s">
        <v>26</v>
      </c>
      <c r="B179" s="16">
        <v>4.1749999999999998</v>
      </c>
      <c r="D179">
        <v>9.7279999999999998</v>
      </c>
      <c r="F179" s="10">
        <v>13.903</v>
      </c>
      <c r="H179">
        <v>18.079000000000001</v>
      </c>
      <c r="J179">
        <v>20.876000000000001</v>
      </c>
      <c r="K179" s="21"/>
      <c r="N179" s="27">
        <v>4.1749999999999998</v>
      </c>
      <c r="O179" s="28">
        <v>4.1749999999999998</v>
      </c>
      <c r="R179" s="22">
        <v>13.903</v>
      </c>
      <c r="T179" s="10">
        <v>13.903</v>
      </c>
      <c r="V179" s="10">
        <v>13.903</v>
      </c>
      <c r="W179" s="21"/>
    </row>
    <row r="180" spans="1:23" x14ac:dyDescent="0.2">
      <c r="A180" s="20" t="s">
        <v>27</v>
      </c>
      <c r="B180" s="16">
        <v>4.16</v>
      </c>
      <c r="D180">
        <v>9.6929999999999996</v>
      </c>
      <c r="F180" s="10">
        <v>13.853999999999999</v>
      </c>
      <c r="H180">
        <v>18.013999999999999</v>
      </c>
      <c r="J180">
        <v>20.800999999999998</v>
      </c>
      <c r="K180" s="21"/>
      <c r="N180" s="27">
        <v>4.16</v>
      </c>
      <c r="O180" s="28">
        <v>4.16</v>
      </c>
      <c r="R180" s="22">
        <v>13.853999999999999</v>
      </c>
      <c r="T180" s="10">
        <v>13.853999999999999</v>
      </c>
      <c r="V180" s="10">
        <v>13.853999999999999</v>
      </c>
      <c r="W180" s="21"/>
    </row>
    <row r="181" spans="1:23" x14ac:dyDescent="0.2">
      <c r="A181" s="20" t="s">
        <v>28</v>
      </c>
      <c r="B181" s="16">
        <v>4.718</v>
      </c>
      <c r="D181">
        <v>10.994</v>
      </c>
      <c r="F181" s="10">
        <v>15.712</v>
      </c>
      <c r="H181">
        <v>20.43</v>
      </c>
      <c r="J181">
        <v>23.591999999999999</v>
      </c>
      <c r="K181" s="21"/>
      <c r="N181" s="27">
        <v>4.718</v>
      </c>
      <c r="O181" s="28">
        <v>4.718</v>
      </c>
      <c r="R181" s="22">
        <v>15.712</v>
      </c>
      <c r="T181" s="10">
        <v>13.975</v>
      </c>
      <c r="V181" s="10">
        <v>14.002000000000001</v>
      </c>
      <c r="W181" s="21"/>
    </row>
    <row r="182" spans="1:23" x14ac:dyDescent="0.2">
      <c r="A182" s="20" t="s">
        <v>29</v>
      </c>
      <c r="B182" s="16">
        <v>38.22</v>
      </c>
      <c r="D182">
        <v>89.052000000000007</v>
      </c>
      <c r="F182" s="10">
        <v>127.27200000000001</v>
      </c>
      <c r="H182">
        <v>165.49199999999999</v>
      </c>
      <c r="J182">
        <v>191.1</v>
      </c>
      <c r="K182" s="21"/>
      <c r="N182" s="27">
        <v>38.22</v>
      </c>
      <c r="O182" s="28">
        <v>38.22</v>
      </c>
      <c r="R182" s="22">
        <v>127.27200000000001</v>
      </c>
      <c r="T182" s="10">
        <v>25.024000000000001</v>
      </c>
      <c r="V182" s="10">
        <v>35.572000000000003</v>
      </c>
      <c r="W182" s="21"/>
    </row>
    <row r="183" spans="1:23" x14ac:dyDescent="0.2">
      <c r="A183" s="20" t="s">
        <v>30</v>
      </c>
      <c r="B183" s="16">
        <v>140.43100000000001</v>
      </c>
      <c r="D183">
        <v>327.20499999999998</v>
      </c>
      <c r="F183" s="10">
        <v>467.63600000000002</v>
      </c>
      <c r="H183">
        <v>608.06799999999998</v>
      </c>
      <c r="J183">
        <v>702.15700000000004</v>
      </c>
      <c r="K183" s="21"/>
      <c r="N183" s="27">
        <v>140.43100000000001</v>
      </c>
      <c r="O183" s="28">
        <v>140.43100000000001</v>
      </c>
      <c r="R183" s="22">
        <v>467.63600000000002</v>
      </c>
      <c r="T183" s="10">
        <v>373.28800000000001</v>
      </c>
      <c r="V183" s="10">
        <v>299.57900000000001</v>
      </c>
      <c r="W183" s="21"/>
    </row>
    <row r="184" spans="1:23" x14ac:dyDescent="0.2">
      <c r="A184" s="20" t="s">
        <v>31</v>
      </c>
      <c r="B184" s="16">
        <v>105.55200000000001</v>
      </c>
      <c r="D184">
        <v>245.935</v>
      </c>
      <c r="F184" s="10">
        <v>351.48700000000002</v>
      </c>
      <c r="H184">
        <v>457.03899999999999</v>
      </c>
      <c r="J184">
        <v>527.75900000000001</v>
      </c>
      <c r="K184" s="21"/>
      <c r="N184" s="27">
        <v>105.55200000000001</v>
      </c>
      <c r="O184" s="28">
        <v>105.55200000000001</v>
      </c>
      <c r="R184" s="22">
        <v>351.48700000000002</v>
      </c>
      <c r="T184" s="10">
        <v>529.73699999999997</v>
      </c>
      <c r="V184" s="10">
        <v>662.74300000000005</v>
      </c>
      <c r="W184" s="21"/>
    </row>
    <row r="185" spans="1:23" x14ac:dyDescent="0.2">
      <c r="A185" s="20" t="s">
        <v>32</v>
      </c>
      <c r="B185" s="16">
        <v>53.551000000000002</v>
      </c>
      <c r="D185">
        <v>124.773</v>
      </c>
      <c r="F185" s="10">
        <v>178.32300000000001</v>
      </c>
      <c r="H185">
        <v>231.874</v>
      </c>
      <c r="J185">
        <v>267.75299999999999</v>
      </c>
      <c r="K185" s="21"/>
      <c r="N185" s="27">
        <v>53.551000000000002</v>
      </c>
      <c r="O185" s="28">
        <v>53.551000000000002</v>
      </c>
      <c r="R185" s="22">
        <v>178.32300000000001</v>
      </c>
      <c r="T185" s="10">
        <v>442.80399999999997</v>
      </c>
      <c r="V185" s="10">
        <v>525.05100000000004</v>
      </c>
      <c r="W185" s="21"/>
    </row>
    <row r="186" spans="1:23" x14ac:dyDescent="0.2">
      <c r="A186" s="20" t="s">
        <v>33</v>
      </c>
      <c r="B186" s="16">
        <v>40.302</v>
      </c>
      <c r="D186">
        <v>93.903000000000006</v>
      </c>
      <c r="F186" s="10">
        <v>134.20500000000001</v>
      </c>
      <c r="H186">
        <v>174.506</v>
      </c>
      <c r="J186">
        <v>201.50899999999999</v>
      </c>
      <c r="K186" s="21"/>
      <c r="N186" s="27">
        <v>40.302</v>
      </c>
      <c r="O186" s="28">
        <v>40.302</v>
      </c>
      <c r="R186" s="22">
        <v>134.20500000000001</v>
      </c>
      <c r="T186" s="10">
        <v>243.99799999999999</v>
      </c>
      <c r="V186" s="10">
        <v>268.24799999999999</v>
      </c>
      <c r="W186" s="21"/>
    </row>
    <row r="187" spans="1:23" x14ac:dyDescent="0.2">
      <c r="A187" s="20" t="s">
        <v>34</v>
      </c>
      <c r="B187" s="16">
        <v>50.673999999999999</v>
      </c>
      <c r="D187">
        <v>118.07</v>
      </c>
      <c r="F187" s="10">
        <v>168.74299999999999</v>
      </c>
      <c r="H187">
        <v>219.417</v>
      </c>
      <c r="J187">
        <v>253.36799999999999</v>
      </c>
      <c r="K187" s="21"/>
      <c r="N187" s="27">
        <v>50.673999999999999</v>
      </c>
      <c r="O187" s="28">
        <v>50.673999999999999</v>
      </c>
      <c r="R187" s="22">
        <v>168.74299999999999</v>
      </c>
      <c r="T187" s="10">
        <v>214.68199999999999</v>
      </c>
      <c r="V187" s="10">
        <v>191.28100000000001</v>
      </c>
      <c r="W187" s="21"/>
    </row>
    <row r="188" spans="1:23" x14ac:dyDescent="0.2">
      <c r="A188" s="20" t="s">
        <v>35</v>
      </c>
      <c r="B188" s="16">
        <v>32.252000000000002</v>
      </c>
      <c r="D188">
        <v>75.147999999999996</v>
      </c>
      <c r="F188" s="10">
        <v>107.4</v>
      </c>
      <c r="H188">
        <v>139.65199999999999</v>
      </c>
      <c r="J188">
        <v>161.262</v>
      </c>
      <c r="K188" s="21"/>
      <c r="N188" s="27">
        <v>32.252000000000002</v>
      </c>
      <c r="O188" s="28">
        <v>32.252000000000002</v>
      </c>
      <c r="R188" s="22">
        <v>107.4</v>
      </c>
      <c r="T188" s="10">
        <v>67.430999999999997</v>
      </c>
      <c r="V188" s="10">
        <v>66.534000000000006</v>
      </c>
      <c r="W188" s="21"/>
    </row>
    <row r="189" spans="1:23" x14ac:dyDescent="0.2">
      <c r="A189" s="20" t="s">
        <v>36</v>
      </c>
      <c r="B189" s="16">
        <v>5.1529999999999996</v>
      </c>
      <c r="D189">
        <v>12.006</v>
      </c>
      <c r="F189" s="10">
        <v>17.158000000000001</v>
      </c>
      <c r="H189">
        <v>22.311</v>
      </c>
      <c r="J189">
        <v>25.763000000000002</v>
      </c>
      <c r="K189" s="21"/>
      <c r="N189" s="27">
        <v>5.1529999999999996</v>
      </c>
      <c r="O189" s="28">
        <v>5.1529999999999996</v>
      </c>
      <c r="R189" s="22">
        <v>17.158000000000001</v>
      </c>
      <c r="T189" s="10">
        <v>15.236000000000001</v>
      </c>
      <c r="V189" s="10">
        <v>14.122999999999999</v>
      </c>
      <c r="W189" s="21"/>
    </row>
    <row r="190" spans="1:23" x14ac:dyDescent="0.2">
      <c r="A190" s="20" t="s">
        <v>37</v>
      </c>
      <c r="B190" s="16">
        <v>4.1749999999999998</v>
      </c>
      <c r="D190">
        <v>9.7279999999999998</v>
      </c>
      <c r="F190" s="10">
        <v>13.903</v>
      </c>
      <c r="H190">
        <v>18.079000000000001</v>
      </c>
      <c r="J190">
        <v>20.876000000000001</v>
      </c>
      <c r="K190" s="21"/>
      <c r="N190" s="27">
        <v>4.1749999999999998</v>
      </c>
      <c r="O190" s="28">
        <v>4.1749999999999998</v>
      </c>
      <c r="R190" s="22">
        <v>13.903</v>
      </c>
      <c r="T190" s="10">
        <v>13.903</v>
      </c>
      <c r="V190" s="10">
        <v>13.903</v>
      </c>
      <c r="W190" s="21"/>
    </row>
    <row r="191" spans="1:23" x14ac:dyDescent="0.2">
      <c r="A191" s="20" t="s">
        <v>26</v>
      </c>
      <c r="B191" s="16">
        <v>4.1749999999999998</v>
      </c>
      <c r="D191">
        <v>9.7279999999999998</v>
      </c>
      <c r="F191" s="10">
        <v>13.903</v>
      </c>
      <c r="H191">
        <v>18.079000000000001</v>
      </c>
      <c r="J191">
        <v>20.876000000000001</v>
      </c>
      <c r="K191" s="21"/>
      <c r="N191" s="27">
        <v>4.1749999999999998</v>
      </c>
      <c r="O191" s="28">
        <v>4.1749999999999998</v>
      </c>
      <c r="R191" s="22">
        <v>13.903</v>
      </c>
      <c r="T191" s="10">
        <v>13.903</v>
      </c>
      <c r="V191" s="10">
        <v>13.903</v>
      </c>
      <c r="W191" s="21"/>
    </row>
    <row r="192" spans="1:23" x14ac:dyDescent="0.2">
      <c r="A192" s="20" t="s">
        <v>27</v>
      </c>
      <c r="B192" s="16">
        <v>4.16</v>
      </c>
      <c r="D192">
        <v>9.6929999999999996</v>
      </c>
      <c r="F192" s="10">
        <v>13.853999999999999</v>
      </c>
      <c r="H192">
        <v>18.013999999999999</v>
      </c>
      <c r="J192">
        <v>20.800999999999998</v>
      </c>
      <c r="K192" s="21"/>
      <c r="N192" s="27">
        <v>4.16</v>
      </c>
      <c r="O192" s="28">
        <v>4.16</v>
      </c>
      <c r="R192" s="22">
        <v>13.853999999999999</v>
      </c>
      <c r="T192" s="10">
        <v>13.853999999999999</v>
      </c>
      <c r="V192" s="10">
        <v>13.853999999999999</v>
      </c>
      <c r="W192" s="21"/>
    </row>
    <row r="193" spans="1:23" x14ac:dyDescent="0.2">
      <c r="A193" s="20" t="s">
        <v>28</v>
      </c>
      <c r="B193" s="16">
        <v>4.3520000000000003</v>
      </c>
      <c r="D193">
        <v>10.141</v>
      </c>
      <c r="F193" s="10">
        <v>14.493</v>
      </c>
      <c r="H193">
        <v>18.844999999999999</v>
      </c>
      <c r="J193">
        <v>21.760999999999999</v>
      </c>
      <c r="K193" s="21"/>
      <c r="N193" s="27">
        <v>4.3520000000000003</v>
      </c>
      <c r="O193" s="28">
        <v>4.3520000000000003</v>
      </c>
      <c r="R193" s="22">
        <v>14.493</v>
      </c>
      <c r="T193" s="10">
        <v>13.903</v>
      </c>
      <c r="V193" s="10">
        <v>13.903</v>
      </c>
      <c r="W193" s="21"/>
    </row>
    <row r="194" spans="1:23" x14ac:dyDescent="0.2">
      <c r="A194" s="20" t="s">
        <v>29</v>
      </c>
      <c r="B194" s="16">
        <v>29.006</v>
      </c>
      <c r="D194">
        <v>67.584000000000003</v>
      </c>
      <c r="F194" s="10">
        <v>96.59</v>
      </c>
      <c r="H194">
        <v>125.595</v>
      </c>
      <c r="J194">
        <v>145.029</v>
      </c>
      <c r="K194" s="21"/>
      <c r="N194" s="27">
        <v>29.006</v>
      </c>
      <c r="O194" s="28">
        <v>29.006</v>
      </c>
      <c r="R194" s="22">
        <v>96.59</v>
      </c>
      <c r="T194" s="10">
        <v>22.292000000000002</v>
      </c>
      <c r="V194" s="10">
        <v>23.22</v>
      </c>
      <c r="W194" s="21"/>
    </row>
    <row r="195" spans="1:23" x14ac:dyDescent="0.2">
      <c r="A195" s="20" t="s">
        <v>30</v>
      </c>
      <c r="B195" s="16">
        <v>131.10499999999999</v>
      </c>
      <c r="D195">
        <v>305.47500000000002</v>
      </c>
      <c r="F195" s="10">
        <v>436.58</v>
      </c>
      <c r="H195">
        <v>567.68499999999995</v>
      </c>
      <c r="J195">
        <v>655.52499999999998</v>
      </c>
      <c r="K195" s="21"/>
      <c r="N195" s="27">
        <v>131.10499999999999</v>
      </c>
      <c r="O195" s="28">
        <v>131.10499999999999</v>
      </c>
      <c r="R195" s="22">
        <v>436.58</v>
      </c>
      <c r="T195" s="10">
        <v>294.80099999999999</v>
      </c>
      <c r="V195" s="10">
        <v>218.386</v>
      </c>
      <c r="W195" s="21"/>
    </row>
    <row r="196" spans="1:23" x14ac:dyDescent="0.2">
      <c r="A196" s="20" t="s">
        <v>31</v>
      </c>
      <c r="B196" s="16">
        <v>133.98400000000001</v>
      </c>
      <c r="D196">
        <v>312.18299999999999</v>
      </c>
      <c r="F196" s="10">
        <v>446.16699999999997</v>
      </c>
      <c r="H196">
        <v>580.15099999999995</v>
      </c>
      <c r="J196">
        <v>669.92</v>
      </c>
      <c r="K196" s="21"/>
      <c r="N196" s="27">
        <v>133.98400000000001</v>
      </c>
      <c r="O196" s="28">
        <v>133.98400000000001</v>
      </c>
      <c r="R196" s="22">
        <v>446.16699999999997</v>
      </c>
      <c r="T196" s="10">
        <v>490.91399999999999</v>
      </c>
      <c r="V196" s="10">
        <v>649.39200000000005</v>
      </c>
      <c r="W196" s="21"/>
    </row>
    <row r="197" spans="1:23" x14ac:dyDescent="0.2">
      <c r="A197" s="20" t="s">
        <v>32</v>
      </c>
      <c r="B197" s="16">
        <v>53.887999999999998</v>
      </c>
      <c r="D197">
        <v>125.559</v>
      </c>
      <c r="F197" s="10">
        <v>179.447</v>
      </c>
      <c r="H197">
        <v>233.334</v>
      </c>
      <c r="J197">
        <v>269.43900000000002</v>
      </c>
      <c r="K197" s="21"/>
      <c r="N197" s="27">
        <v>53.887999999999998</v>
      </c>
      <c r="O197" s="28">
        <v>53.887999999999998</v>
      </c>
      <c r="R197" s="22">
        <v>179.447</v>
      </c>
      <c r="T197" s="10">
        <v>501.78100000000001</v>
      </c>
      <c r="V197" s="10">
        <v>586.12300000000005</v>
      </c>
      <c r="W197" s="21"/>
    </row>
    <row r="198" spans="1:23" x14ac:dyDescent="0.2">
      <c r="A198" s="20" t="s">
        <v>33</v>
      </c>
      <c r="B198" s="16">
        <v>54.91</v>
      </c>
      <c r="D198">
        <v>127.94</v>
      </c>
      <c r="F198" s="10">
        <v>182.85</v>
      </c>
      <c r="H198">
        <v>237.76</v>
      </c>
      <c r="J198">
        <v>274.54899999999998</v>
      </c>
      <c r="K198" s="21"/>
      <c r="N198" s="27">
        <v>54.91</v>
      </c>
      <c r="O198" s="28">
        <v>54.91</v>
      </c>
      <c r="R198" s="22">
        <v>182.85</v>
      </c>
      <c r="T198" s="10">
        <v>401.21199999999999</v>
      </c>
      <c r="V198" s="10">
        <v>369.59399999999999</v>
      </c>
      <c r="W198" s="21"/>
    </row>
    <row r="199" spans="1:23" x14ac:dyDescent="0.2">
      <c r="A199" s="20" t="s">
        <v>34</v>
      </c>
      <c r="B199" s="16">
        <v>47.101999999999997</v>
      </c>
      <c r="D199">
        <v>109.748</v>
      </c>
      <c r="F199" s="10">
        <v>156.85</v>
      </c>
      <c r="H199">
        <v>203.952</v>
      </c>
      <c r="J199">
        <v>235.511</v>
      </c>
      <c r="K199" s="21"/>
      <c r="N199" s="27">
        <v>47.101999999999997</v>
      </c>
      <c r="O199" s="28">
        <v>47.101999999999997</v>
      </c>
      <c r="R199" s="22">
        <v>156.85</v>
      </c>
      <c r="T199" s="10">
        <v>191.38300000000001</v>
      </c>
      <c r="V199" s="10">
        <v>186.54</v>
      </c>
      <c r="W199" s="21"/>
    </row>
    <row r="200" spans="1:23" x14ac:dyDescent="0.2">
      <c r="A200" s="20" t="s">
        <v>35</v>
      </c>
      <c r="B200" s="16">
        <v>31.280999999999999</v>
      </c>
      <c r="D200">
        <v>72.885999999999996</v>
      </c>
      <c r="F200" s="10">
        <v>104.167</v>
      </c>
      <c r="H200">
        <v>135.44900000000001</v>
      </c>
      <c r="J200">
        <v>156.40700000000001</v>
      </c>
      <c r="K200" s="21"/>
      <c r="N200" s="27">
        <v>31.280999999999999</v>
      </c>
      <c r="O200" s="28">
        <v>31.280999999999999</v>
      </c>
      <c r="R200" s="22">
        <v>104.167</v>
      </c>
      <c r="T200" s="10">
        <v>63.332000000000001</v>
      </c>
      <c r="V200" s="10">
        <v>48.487000000000002</v>
      </c>
      <c r="W200" s="21"/>
    </row>
    <row r="201" spans="1:23" x14ac:dyDescent="0.2">
      <c r="A201" s="20" t="s">
        <v>36</v>
      </c>
      <c r="B201" s="16">
        <v>4.8250000000000002</v>
      </c>
      <c r="D201">
        <v>11.243</v>
      </c>
      <c r="F201" s="10">
        <v>16.068999999999999</v>
      </c>
      <c r="H201">
        <v>20.893999999999998</v>
      </c>
      <c r="J201">
        <v>24.126999999999999</v>
      </c>
      <c r="K201" s="21"/>
      <c r="N201" s="27">
        <v>4.8250000000000002</v>
      </c>
      <c r="O201" s="28">
        <v>4.8250000000000002</v>
      </c>
      <c r="R201" s="22">
        <v>16.068999999999999</v>
      </c>
      <c r="T201" s="10">
        <v>15.191000000000001</v>
      </c>
      <c r="V201" s="10">
        <v>14.555999999999999</v>
      </c>
      <c r="W201" s="21"/>
    </row>
    <row r="202" spans="1:23" x14ac:dyDescent="0.2">
      <c r="A202" s="20" t="s">
        <v>37</v>
      </c>
      <c r="B202" s="16">
        <v>4.1749999999999998</v>
      </c>
      <c r="D202">
        <v>9.7279999999999998</v>
      </c>
      <c r="F202" s="10">
        <v>13.903</v>
      </c>
      <c r="H202">
        <v>18.079000000000001</v>
      </c>
      <c r="J202">
        <v>20.876000000000001</v>
      </c>
      <c r="K202" s="21"/>
      <c r="N202" s="27">
        <v>4.1749999999999998</v>
      </c>
      <c r="O202" s="28">
        <v>4.1749999999999998</v>
      </c>
      <c r="R202" s="22">
        <v>13.903</v>
      </c>
      <c r="T202" s="10">
        <v>13.911</v>
      </c>
      <c r="V202" s="10">
        <v>13.903</v>
      </c>
      <c r="W202" s="21"/>
    </row>
    <row r="203" spans="1:23" x14ac:dyDescent="0.2">
      <c r="A203" s="20" t="s">
        <v>26</v>
      </c>
      <c r="B203" s="16">
        <v>4.1749999999999998</v>
      </c>
      <c r="D203">
        <v>9.7279999999999998</v>
      </c>
      <c r="F203" s="10">
        <v>13.903</v>
      </c>
      <c r="H203">
        <v>18.079000000000001</v>
      </c>
      <c r="J203">
        <v>20.876000000000001</v>
      </c>
      <c r="K203" s="21"/>
      <c r="N203" s="27">
        <v>4.1749999999999998</v>
      </c>
      <c r="O203" s="28">
        <v>4.1749999999999998</v>
      </c>
      <c r="R203" s="22">
        <v>13.903</v>
      </c>
      <c r="T203" s="10">
        <v>13.903</v>
      </c>
      <c r="V203" s="10">
        <v>13.903</v>
      </c>
      <c r="W203" s="21"/>
    </row>
    <row r="204" spans="1:23" x14ac:dyDescent="0.2">
      <c r="A204" s="20" t="s">
        <v>27</v>
      </c>
      <c r="B204" s="16">
        <v>4.16</v>
      </c>
      <c r="D204">
        <v>9.6929999999999996</v>
      </c>
      <c r="F204" s="10">
        <v>13.853999999999999</v>
      </c>
      <c r="H204">
        <v>18.013999999999999</v>
      </c>
      <c r="J204">
        <v>20.800999999999998</v>
      </c>
      <c r="K204" s="21"/>
      <c r="N204" s="27">
        <v>4.16</v>
      </c>
      <c r="O204" s="28">
        <v>4.16</v>
      </c>
      <c r="R204" s="22">
        <v>13.853999999999999</v>
      </c>
      <c r="T204" s="10">
        <v>13.853999999999999</v>
      </c>
      <c r="V204" s="10">
        <v>14.287000000000001</v>
      </c>
      <c r="W204" s="21"/>
    </row>
    <row r="205" spans="1:23" x14ac:dyDescent="0.2">
      <c r="A205" s="20" t="s">
        <v>28</v>
      </c>
      <c r="B205" s="16">
        <v>5.6529999999999996</v>
      </c>
      <c r="D205">
        <v>13.170999999999999</v>
      </c>
      <c r="F205" s="10">
        <v>18.823</v>
      </c>
      <c r="H205">
        <v>24.475999999999999</v>
      </c>
      <c r="J205">
        <v>28.263999999999999</v>
      </c>
      <c r="K205" s="21"/>
      <c r="N205" s="27">
        <v>5.6529999999999996</v>
      </c>
      <c r="O205" s="28">
        <v>5.6529999999999996</v>
      </c>
      <c r="R205" s="22">
        <v>18.823</v>
      </c>
      <c r="T205" s="10">
        <v>13.926</v>
      </c>
      <c r="V205" s="10">
        <v>16.32</v>
      </c>
      <c r="W205" s="21"/>
    </row>
    <row r="206" spans="1:23" x14ac:dyDescent="0.2">
      <c r="A206" s="20" t="s">
        <v>29</v>
      </c>
      <c r="B206" s="16">
        <v>63.033000000000001</v>
      </c>
      <c r="D206">
        <v>146.86699999999999</v>
      </c>
      <c r="F206" s="10">
        <v>209.9</v>
      </c>
      <c r="H206">
        <v>272.93299999999999</v>
      </c>
      <c r="J206">
        <v>315.16500000000002</v>
      </c>
      <c r="K206" s="21"/>
      <c r="N206" s="27">
        <v>63.033000000000001</v>
      </c>
      <c r="O206" s="28">
        <v>63.033000000000001</v>
      </c>
      <c r="R206" s="22">
        <v>209.9</v>
      </c>
      <c r="T206" s="10">
        <v>39.517000000000003</v>
      </c>
      <c r="V206" s="10">
        <v>71.120999999999995</v>
      </c>
      <c r="W206" s="21"/>
    </row>
    <row r="207" spans="1:23" x14ac:dyDescent="0.2">
      <c r="A207" s="20" t="s">
        <v>30</v>
      </c>
      <c r="B207" s="16">
        <v>158.46100000000001</v>
      </c>
      <c r="D207">
        <v>369.214</v>
      </c>
      <c r="F207" s="10">
        <v>527.67499999999995</v>
      </c>
      <c r="H207">
        <v>686.13599999999997</v>
      </c>
      <c r="J207">
        <v>792.30499999999995</v>
      </c>
      <c r="K207" s="21"/>
      <c r="N207" s="27">
        <v>158.46100000000001</v>
      </c>
      <c r="O207" s="28">
        <v>158.46100000000001</v>
      </c>
      <c r="R207" s="22">
        <v>527.67499999999995</v>
      </c>
      <c r="T207" s="10">
        <v>466.06799999999998</v>
      </c>
      <c r="V207" s="10">
        <v>454.34199999999998</v>
      </c>
      <c r="W207" s="21"/>
    </row>
    <row r="208" spans="1:23" x14ac:dyDescent="0.2">
      <c r="A208" s="20" t="s">
        <v>31</v>
      </c>
      <c r="B208" s="16">
        <v>117.50700000000001</v>
      </c>
      <c r="D208">
        <v>273.791</v>
      </c>
      <c r="F208" s="10">
        <v>391.298</v>
      </c>
      <c r="H208">
        <v>508.80500000000001</v>
      </c>
      <c r="J208">
        <v>587.53499999999997</v>
      </c>
      <c r="K208" s="21"/>
      <c r="N208" s="27">
        <v>117.50700000000001</v>
      </c>
      <c r="O208" s="28">
        <v>117.50700000000001</v>
      </c>
      <c r="R208" s="22">
        <v>391.298</v>
      </c>
      <c r="T208" s="10">
        <v>615.77300000000002</v>
      </c>
      <c r="V208" s="10">
        <v>786.00599999999997</v>
      </c>
      <c r="W208" s="21"/>
    </row>
    <row r="209" spans="1:23" x14ac:dyDescent="0.2">
      <c r="A209" s="20" t="s">
        <v>32</v>
      </c>
      <c r="B209" s="16">
        <v>52.122</v>
      </c>
      <c r="D209">
        <v>121.444</v>
      </c>
      <c r="F209" s="10">
        <v>173.566</v>
      </c>
      <c r="H209">
        <v>225.68700000000001</v>
      </c>
      <c r="J209">
        <v>260.60899999999998</v>
      </c>
      <c r="K209" s="21"/>
      <c r="N209" s="27">
        <v>52.122</v>
      </c>
      <c r="O209" s="28">
        <v>52.122</v>
      </c>
      <c r="R209" s="22">
        <v>173.566</v>
      </c>
      <c r="T209" s="10">
        <v>494.91500000000002</v>
      </c>
      <c r="V209" s="10">
        <v>478.54300000000001</v>
      </c>
      <c r="W209" s="21"/>
    </row>
    <row r="210" spans="1:23" x14ac:dyDescent="0.2">
      <c r="A210" s="20" t="s">
        <v>33</v>
      </c>
      <c r="B210" s="16">
        <v>45.709000000000003</v>
      </c>
      <c r="D210">
        <v>106.503</v>
      </c>
      <c r="F210" s="10">
        <v>152.21199999999999</v>
      </c>
      <c r="H210">
        <v>197.92099999999999</v>
      </c>
      <c r="J210">
        <v>228.54599999999999</v>
      </c>
      <c r="K210" s="21"/>
      <c r="N210" s="27">
        <v>45.709000000000003</v>
      </c>
      <c r="O210" s="28">
        <v>45.709000000000003</v>
      </c>
      <c r="R210" s="22">
        <v>152.21199999999999</v>
      </c>
      <c r="T210" s="10">
        <v>302.101</v>
      </c>
      <c r="V210" s="10">
        <v>272.79199999999997</v>
      </c>
      <c r="W210" s="21"/>
    </row>
    <row r="211" spans="1:23" x14ac:dyDescent="0.2">
      <c r="A211" s="20" t="s">
        <v>34</v>
      </c>
      <c r="B211" s="16">
        <v>60.518999999999998</v>
      </c>
      <c r="D211">
        <v>141.00800000000001</v>
      </c>
      <c r="F211" s="10">
        <v>201.52699999999999</v>
      </c>
      <c r="H211">
        <v>262.04599999999999</v>
      </c>
      <c r="J211">
        <v>302.59300000000002</v>
      </c>
      <c r="K211" s="21"/>
      <c r="N211" s="27">
        <v>60.518999999999998</v>
      </c>
      <c r="O211" s="28">
        <v>60.518999999999998</v>
      </c>
      <c r="R211" s="22">
        <v>201.52699999999999</v>
      </c>
      <c r="T211" s="10">
        <v>247.40299999999999</v>
      </c>
      <c r="V211" s="10">
        <v>225.185</v>
      </c>
      <c r="W211" s="21"/>
    </row>
    <row r="212" spans="1:23" x14ac:dyDescent="0.2">
      <c r="A212" s="20" t="s">
        <v>35</v>
      </c>
      <c r="B212" s="16">
        <v>51.305</v>
      </c>
      <c r="D212">
        <v>119.541</v>
      </c>
      <c r="F212" s="10">
        <v>170.845</v>
      </c>
      <c r="H212">
        <v>222.15</v>
      </c>
      <c r="J212">
        <v>256.52499999999998</v>
      </c>
      <c r="K212" s="21"/>
      <c r="N212" s="27">
        <v>51.305</v>
      </c>
      <c r="O212" s="28">
        <v>51.305</v>
      </c>
      <c r="R212" s="22">
        <v>170.845</v>
      </c>
      <c r="T212" s="10">
        <v>131.69800000000001</v>
      </c>
      <c r="V212" s="10">
        <v>151.785</v>
      </c>
      <c r="W212" s="21"/>
    </row>
    <row r="213" spans="1:23" x14ac:dyDescent="0.2">
      <c r="A213" s="20" t="s">
        <v>36</v>
      </c>
      <c r="B213" s="16">
        <v>4.3970000000000002</v>
      </c>
      <c r="D213">
        <v>10.244</v>
      </c>
      <c r="F213" s="10">
        <v>14.641</v>
      </c>
      <c r="H213">
        <v>19.038</v>
      </c>
      <c r="J213">
        <v>21.984000000000002</v>
      </c>
      <c r="K213" s="21"/>
      <c r="N213" s="27">
        <v>4.3970000000000002</v>
      </c>
      <c r="O213" s="28">
        <v>4.3970000000000002</v>
      </c>
      <c r="R213" s="22">
        <v>14.641</v>
      </c>
      <c r="T213" s="10">
        <v>20.007999999999999</v>
      </c>
      <c r="V213" s="10">
        <v>15.753</v>
      </c>
      <c r="W213" s="21"/>
    </row>
    <row r="214" spans="1:23" x14ac:dyDescent="0.2">
      <c r="A214" s="20" t="s">
        <v>37</v>
      </c>
      <c r="B214" s="16">
        <v>4.1749999999999998</v>
      </c>
      <c r="D214">
        <v>9.7289999999999992</v>
      </c>
      <c r="F214" s="10">
        <v>13.904</v>
      </c>
      <c r="H214">
        <v>18.079999999999998</v>
      </c>
      <c r="J214">
        <v>20.876999999999999</v>
      </c>
      <c r="K214" s="21"/>
      <c r="N214" s="27">
        <v>4.1749999999999998</v>
      </c>
      <c r="O214" s="28">
        <v>4.1749999999999998</v>
      </c>
      <c r="R214" s="22">
        <v>13.904</v>
      </c>
      <c r="T214" s="10">
        <v>13.904999999999999</v>
      </c>
      <c r="V214" s="10">
        <v>13.903</v>
      </c>
      <c r="W214" s="21"/>
    </row>
    <row r="215" spans="1:23" x14ac:dyDescent="0.2">
      <c r="A215" s="20" t="s">
        <v>26</v>
      </c>
      <c r="B215" s="16">
        <v>4.1749999999999998</v>
      </c>
      <c r="D215">
        <v>9.7279999999999998</v>
      </c>
      <c r="F215" s="10">
        <v>13.903</v>
      </c>
      <c r="H215">
        <v>18.079000000000001</v>
      </c>
      <c r="J215">
        <v>20.876000000000001</v>
      </c>
      <c r="K215" s="21"/>
      <c r="N215" s="27">
        <v>4.1749999999999998</v>
      </c>
      <c r="O215" s="28">
        <v>4.1749999999999998</v>
      </c>
      <c r="R215" s="22">
        <v>13.903</v>
      </c>
      <c r="T215" s="10">
        <v>13.903</v>
      </c>
      <c r="V215" s="10">
        <v>13.903</v>
      </c>
      <c r="W215" s="21"/>
    </row>
    <row r="216" spans="1:23" x14ac:dyDescent="0.2">
      <c r="A216" s="20" t="s">
        <v>27</v>
      </c>
      <c r="B216" s="16">
        <v>4.16</v>
      </c>
      <c r="D216">
        <v>9.6929999999999996</v>
      </c>
      <c r="F216" s="10">
        <v>13.853999999999999</v>
      </c>
      <c r="H216">
        <v>18.013999999999999</v>
      </c>
      <c r="J216">
        <v>20.800999999999998</v>
      </c>
      <c r="K216" s="21"/>
      <c r="N216" s="27">
        <v>4.16</v>
      </c>
      <c r="O216" s="28">
        <v>4.16</v>
      </c>
      <c r="R216" s="22">
        <v>13.853999999999999</v>
      </c>
      <c r="T216" s="10">
        <v>13.853999999999999</v>
      </c>
      <c r="V216" s="10">
        <v>13.853999999999999</v>
      </c>
      <c r="W216" s="21"/>
    </row>
    <row r="217" spans="1:23" x14ac:dyDescent="0.2">
      <c r="A217" s="20" t="s">
        <v>28</v>
      </c>
      <c r="B217" s="16">
        <v>4.24</v>
      </c>
      <c r="D217">
        <v>9.8789999999999996</v>
      </c>
      <c r="F217" s="10">
        <v>14.119</v>
      </c>
      <c r="H217">
        <v>18.359000000000002</v>
      </c>
      <c r="J217">
        <v>21.2</v>
      </c>
      <c r="K217" s="21"/>
      <c r="N217" s="27">
        <v>4.24</v>
      </c>
      <c r="O217" s="28">
        <v>4.24</v>
      </c>
      <c r="R217" s="22">
        <v>14.119</v>
      </c>
      <c r="T217" s="10">
        <v>13.907999999999999</v>
      </c>
      <c r="V217" s="10">
        <v>13.907</v>
      </c>
      <c r="W217" s="21"/>
    </row>
    <row r="218" spans="1:23" x14ac:dyDescent="0.2">
      <c r="A218" s="20" t="s">
        <v>29</v>
      </c>
      <c r="B218" s="16">
        <v>19.77</v>
      </c>
      <c r="D218">
        <v>46.064</v>
      </c>
      <c r="F218" s="10">
        <v>65.834000000000003</v>
      </c>
      <c r="H218">
        <v>85.603999999999999</v>
      </c>
      <c r="J218">
        <v>98.85</v>
      </c>
      <c r="K218" s="21"/>
      <c r="N218" s="27">
        <v>19.77</v>
      </c>
      <c r="O218" s="28">
        <v>19.77</v>
      </c>
      <c r="R218" s="22">
        <v>65.834000000000003</v>
      </c>
      <c r="T218" s="10">
        <v>19.693999999999999</v>
      </c>
      <c r="V218" s="10">
        <v>18.638000000000002</v>
      </c>
      <c r="W218" s="21"/>
    </row>
    <row r="219" spans="1:23" x14ac:dyDescent="0.2">
      <c r="A219" s="20" t="s">
        <v>30</v>
      </c>
      <c r="B219" s="16">
        <v>134.261</v>
      </c>
      <c r="D219">
        <v>312.82799999999997</v>
      </c>
      <c r="F219" s="10">
        <v>447.089</v>
      </c>
      <c r="H219">
        <v>581.351</v>
      </c>
      <c r="J219">
        <v>671.30499999999995</v>
      </c>
      <c r="K219" s="21"/>
      <c r="N219" s="27">
        <v>134.261</v>
      </c>
      <c r="O219" s="28">
        <v>134.261</v>
      </c>
      <c r="R219" s="22">
        <v>447.089</v>
      </c>
      <c r="T219" s="10">
        <v>272.95</v>
      </c>
      <c r="V219" s="10">
        <v>170.09800000000001</v>
      </c>
      <c r="W219" s="21"/>
    </row>
    <row r="220" spans="1:23" x14ac:dyDescent="0.2">
      <c r="A220" s="20" t="s">
        <v>31</v>
      </c>
      <c r="B220" s="16">
        <v>144.267</v>
      </c>
      <c r="D220">
        <v>336.142</v>
      </c>
      <c r="F220" s="10">
        <v>480.40899999999999</v>
      </c>
      <c r="H220">
        <v>624.67600000000004</v>
      </c>
      <c r="J220">
        <v>721.33500000000004</v>
      </c>
      <c r="K220" s="21"/>
      <c r="N220" s="27">
        <v>144.267</v>
      </c>
      <c r="O220" s="28">
        <v>144.267</v>
      </c>
      <c r="R220" s="22">
        <v>480.40899999999999</v>
      </c>
      <c r="T220" s="10">
        <v>500.65499999999997</v>
      </c>
      <c r="V220" s="10">
        <v>607.01900000000001</v>
      </c>
      <c r="W220" s="21"/>
    </row>
    <row r="221" spans="1:23" x14ac:dyDescent="0.2">
      <c r="A221" s="20" t="s">
        <v>32</v>
      </c>
      <c r="B221" s="16">
        <v>70.795000000000002</v>
      </c>
      <c r="D221">
        <v>164.952</v>
      </c>
      <c r="F221" s="10">
        <v>235.74600000000001</v>
      </c>
      <c r="H221">
        <v>306.541</v>
      </c>
      <c r="J221">
        <v>353.97399999999999</v>
      </c>
      <c r="K221" s="21"/>
      <c r="N221" s="27">
        <v>70.795000000000002</v>
      </c>
      <c r="O221" s="28">
        <v>70.795000000000002</v>
      </c>
      <c r="R221" s="22">
        <v>235.74600000000001</v>
      </c>
      <c r="T221" s="10">
        <v>548.69200000000001</v>
      </c>
      <c r="V221" s="10">
        <v>623.12400000000002</v>
      </c>
      <c r="W221" s="21"/>
    </row>
    <row r="222" spans="1:23" x14ac:dyDescent="0.2">
      <c r="A222" s="20" t="s">
        <v>33</v>
      </c>
      <c r="B222" s="16">
        <v>54.72</v>
      </c>
      <c r="D222">
        <v>127.498</v>
      </c>
      <c r="F222" s="10">
        <v>182.21799999999999</v>
      </c>
      <c r="H222">
        <v>236.93899999999999</v>
      </c>
      <c r="J222">
        <v>273.601</v>
      </c>
      <c r="K222" s="21"/>
      <c r="N222" s="27">
        <v>54.72</v>
      </c>
      <c r="O222" s="28">
        <v>54.72</v>
      </c>
      <c r="R222" s="22">
        <v>182.21799999999999</v>
      </c>
      <c r="T222" s="10">
        <v>446.85</v>
      </c>
      <c r="V222" s="10">
        <v>429.108</v>
      </c>
      <c r="W222" s="21"/>
    </row>
    <row r="223" spans="1:23" x14ac:dyDescent="0.2">
      <c r="A223" s="20" t="s">
        <v>34</v>
      </c>
      <c r="B223" s="16">
        <v>53.585999999999999</v>
      </c>
      <c r="D223">
        <v>124.855</v>
      </c>
      <c r="F223" s="10">
        <v>178.44</v>
      </c>
      <c r="H223">
        <v>232.02600000000001</v>
      </c>
      <c r="J223">
        <v>267.928</v>
      </c>
      <c r="K223" s="21"/>
      <c r="N223" s="27">
        <v>53.585999999999999</v>
      </c>
      <c r="O223" s="28">
        <v>53.585999999999999</v>
      </c>
      <c r="R223" s="22">
        <v>178.44</v>
      </c>
      <c r="T223" s="10">
        <v>196.428</v>
      </c>
      <c r="V223" s="10">
        <v>200.11099999999999</v>
      </c>
      <c r="W223" s="21"/>
    </row>
    <row r="224" spans="1:23" x14ac:dyDescent="0.2">
      <c r="A224" s="20" t="s">
        <v>35</v>
      </c>
      <c r="B224" s="16">
        <v>24.295999999999999</v>
      </c>
      <c r="D224">
        <v>56.61</v>
      </c>
      <c r="F224" s="10">
        <v>80.906000000000006</v>
      </c>
      <c r="H224">
        <v>105.202</v>
      </c>
      <c r="J224">
        <v>121.48</v>
      </c>
      <c r="K224" s="21"/>
      <c r="N224" s="27">
        <v>24.295999999999999</v>
      </c>
      <c r="O224" s="28">
        <v>24.295999999999999</v>
      </c>
      <c r="R224" s="22">
        <v>80.906000000000006</v>
      </c>
      <c r="T224" s="10">
        <v>58.74</v>
      </c>
      <c r="V224" s="10">
        <v>41.21</v>
      </c>
      <c r="W224" s="21"/>
    </row>
    <row r="225" spans="1:23" x14ac:dyDescent="0.2">
      <c r="A225" s="20" t="s">
        <v>36</v>
      </c>
      <c r="B225" s="16">
        <v>4.1790000000000003</v>
      </c>
      <c r="D225">
        <v>9.7370000000000001</v>
      </c>
      <c r="F225" s="10">
        <v>13.914999999999999</v>
      </c>
      <c r="H225">
        <v>18.094000000000001</v>
      </c>
      <c r="J225">
        <v>20.893999999999998</v>
      </c>
      <c r="K225" s="21"/>
      <c r="N225" s="27">
        <v>4.1790000000000003</v>
      </c>
      <c r="O225" s="28">
        <v>4.1790000000000003</v>
      </c>
      <c r="R225" s="22">
        <v>13.914999999999999</v>
      </c>
      <c r="T225" s="10">
        <v>13.897</v>
      </c>
      <c r="V225" s="10">
        <v>13.894</v>
      </c>
      <c r="W225" s="21"/>
    </row>
    <row r="226" spans="1:23" x14ac:dyDescent="0.2">
      <c r="A226" s="20" t="s">
        <v>37</v>
      </c>
      <c r="B226" s="16">
        <v>4.1749999999999998</v>
      </c>
      <c r="D226">
        <v>9.7279999999999998</v>
      </c>
      <c r="F226" s="10">
        <v>13.903</v>
      </c>
      <c r="H226">
        <v>18.079000000000001</v>
      </c>
      <c r="J226">
        <v>20.876000000000001</v>
      </c>
      <c r="K226" s="21"/>
      <c r="N226" s="27">
        <v>4.1749999999999998</v>
      </c>
      <c r="O226" s="28">
        <v>4.1749999999999998</v>
      </c>
      <c r="R226" s="22">
        <v>13.903</v>
      </c>
      <c r="T226" s="10">
        <v>13.903</v>
      </c>
      <c r="V226" s="10">
        <v>13.903</v>
      </c>
      <c r="W226" s="21"/>
    </row>
    <row r="227" spans="1:23" x14ac:dyDescent="0.2">
      <c r="A227" s="20" t="s">
        <v>26</v>
      </c>
      <c r="B227" s="16">
        <v>4.1749999999999998</v>
      </c>
      <c r="D227">
        <v>9.7279999999999998</v>
      </c>
      <c r="F227" s="10">
        <v>13.903</v>
      </c>
      <c r="H227">
        <v>18.079000000000001</v>
      </c>
      <c r="J227">
        <v>20.876000000000001</v>
      </c>
      <c r="K227" s="21"/>
      <c r="N227" s="27">
        <v>4.1749999999999998</v>
      </c>
      <c r="O227" s="28">
        <v>4.1749999999999998</v>
      </c>
      <c r="R227" s="22">
        <v>13.903</v>
      </c>
      <c r="T227" s="10">
        <v>13.903</v>
      </c>
      <c r="V227" s="10">
        <v>14.182</v>
      </c>
      <c r="W227" s="21"/>
    </row>
    <row r="228" spans="1:23" x14ac:dyDescent="0.2">
      <c r="A228" s="20" t="s">
        <v>27</v>
      </c>
      <c r="B228" s="16">
        <v>4.1619999999999999</v>
      </c>
      <c r="D228">
        <v>9.6980000000000004</v>
      </c>
      <c r="F228" s="10">
        <v>13.86</v>
      </c>
      <c r="H228">
        <v>18.021999999999998</v>
      </c>
      <c r="J228">
        <v>20.81</v>
      </c>
      <c r="K228" s="21"/>
      <c r="N228" s="27">
        <v>4.1619999999999999</v>
      </c>
      <c r="O228" s="28">
        <v>4.1619999999999999</v>
      </c>
      <c r="R228" s="22">
        <v>13.86</v>
      </c>
      <c r="T228" s="10">
        <v>13.853999999999999</v>
      </c>
      <c r="V228" s="10">
        <v>14.760999999999999</v>
      </c>
      <c r="W228" s="21"/>
    </row>
    <row r="229" spans="1:23" x14ac:dyDescent="0.2">
      <c r="A229" s="20" t="s">
        <v>28</v>
      </c>
      <c r="B229" s="16">
        <v>8.5470000000000006</v>
      </c>
      <c r="D229">
        <v>19.914999999999999</v>
      </c>
      <c r="F229" s="10">
        <v>28.462</v>
      </c>
      <c r="H229">
        <v>37.009</v>
      </c>
      <c r="J229">
        <v>42.734999999999999</v>
      </c>
      <c r="K229" s="21"/>
      <c r="N229" s="27">
        <v>8.5470000000000006</v>
      </c>
      <c r="O229" s="28">
        <v>8.5470000000000006</v>
      </c>
      <c r="R229" s="22">
        <v>28.462</v>
      </c>
      <c r="T229" s="10">
        <v>14.722</v>
      </c>
      <c r="V229" s="10">
        <v>24.062000000000001</v>
      </c>
      <c r="W229" s="21"/>
    </row>
    <row r="230" spans="1:23" x14ac:dyDescent="0.2">
      <c r="A230" s="20" t="s">
        <v>29</v>
      </c>
      <c r="B230" s="16">
        <v>85.153000000000006</v>
      </c>
      <c r="D230">
        <v>198.40700000000001</v>
      </c>
      <c r="F230" s="10">
        <v>283.56</v>
      </c>
      <c r="H230">
        <v>368.71300000000002</v>
      </c>
      <c r="J230">
        <v>425.76600000000002</v>
      </c>
      <c r="K230" s="21"/>
      <c r="N230" s="27">
        <v>85.153000000000006</v>
      </c>
      <c r="O230" s="28">
        <v>85.153000000000006</v>
      </c>
      <c r="R230" s="22">
        <v>283.56</v>
      </c>
      <c r="T230" s="10">
        <v>62.228999999999999</v>
      </c>
      <c r="V230" s="10">
        <v>152.71700000000001</v>
      </c>
      <c r="W230" s="21"/>
    </row>
    <row r="231" spans="1:23" x14ac:dyDescent="0.2">
      <c r="A231" s="20" t="s">
        <v>30</v>
      </c>
      <c r="B231" s="16">
        <v>148.613</v>
      </c>
      <c r="D231">
        <v>346.267</v>
      </c>
      <c r="F231" s="10">
        <v>494.88</v>
      </c>
      <c r="H231">
        <v>643.49199999999996</v>
      </c>
      <c r="J231">
        <v>743.06299999999999</v>
      </c>
      <c r="K231" s="21"/>
      <c r="N231" s="27">
        <v>148.613</v>
      </c>
      <c r="O231" s="28">
        <v>148.613</v>
      </c>
      <c r="R231" s="22">
        <v>494.88</v>
      </c>
      <c r="T231" s="10">
        <v>534.47900000000004</v>
      </c>
      <c r="V231" s="10">
        <v>540.35699999999997</v>
      </c>
      <c r="W231" s="21"/>
    </row>
    <row r="232" spans="1:23" x14ac:dyDescent="0.2">
      <c r="A232" s="20" t="s">
        <v>31</v>
      </c>
      <c r="B232" s="16">
        <v>75.858000000000004</v>
      </c>
      <c r="D232">
        <v>176.749</v>
      </c>
      <c r="F232" s="10">
        <v>252.607</v>
      </c>
      <c r="H232">
        <v>328.46499999999997</v>
      </c>
      <c r="J232">
        <v>379.29</v>
      </c>
      <c r="K232" s="21"/>
      <c r="N232" s="27">
        <v>75.858000000000004</v>
      </c>
      <c r="O232" s="28">
        <v>75.858000000000004</v>
      </c>
      <c r="R232" s="22">
        <v>252.607</v>
      </c>
      <c r="T232" s="10">
        <v>583.30200000000002</v>
      </c>
      <c r="V232" s="10">
        <v>644.90899999999999</v>
      </c>
      <c r="W232" s="21"/>
    </row>
    <row r="233" spans="1:23" x14ac:dyDescent="0.2">
      <c r="A233" s="20" t="s">
        <v>32</v>
      </c>
      <c r="B233" s="16">
        <v>45.933999999999997</v>
      </c>
      <c r="D233">
        <v>107.026</v>
      </c>
      <c r="F233" s="10">
        <v>152.96</v>
      </c>
      <c r="H233">
        <v>198.89400000000001</v>
      </c>
      <c r="J233">
        <v>229.67</v>
      </c>
      <c r="K233" s="21"/>
      <c r="N233" s="27">
        <v>45.933999999999997</v>
      </c>
      <c r="O233" s="28">
        <v>45.933999999999997</v>
      </c>
      <c r="R233" s="22">
        <v>152.96</v>
      </c>
      <c r="T233" s="10">
        <v>334.149</v>
      </c>
      <c r="V233" s="10">
        <v>327.51499999999999</v>
      </c>
      <c r="W233" s="21"/>
    </row>
    <row r="234" spans="1:23" x14ac:dyDescent="0.2">
      <c r="A234" s="20" t="s">
        <v>33</v>
      </c>
      <c r="B234" s="16">
        <v>41.588000000000001</v>
      </c>
      <c r="D234">
        <v>96.900999999999996</v>
      </c>
      <c r="F234" s="10">
        <v>138.49</v>
      </c>
      <c r="H234">
        <v>180.078</v>
      </c>
      <c r="J234">
        <v>207.94200000000001</v>
      </c>
      <c r="K234" s="21"/>
      <c r="N234" s="27">
        <v>41.588000000000001</v>
      </c>
      <c r="O234" s="28">
        <v>41.588000000000001</v>
      </c>
      <c r="R234" s="22">
        <v>138.49</v>
      </c>
      <c r="T234" s="10">
        <v>282.59800000000001</v>
      </c>
      <c r="V234" s="10">
        <v>215.80099999999999</v>
      </c>
      <c r="W234" s="21"/>
    </row>
    <row r="235" spans="1:23" x14ac:dyDescent="0.2">
      <c r="A235" s="20" t="s">
        <v>34</v>
      </c>
      <c r="B235" s="16">
        <v>45.055</v>
      </c>
      <c r="D235">
        <v>104.977</v>
      </c>
      <c r="F235" s="10">
        <v>150.03200000000001</v>
      </c>
      <c r="H235">
        <v>195.08699999999999</v>
      </c>
      <c r="J235">
        <v>225.273</v>
      </c>
      <c r="K235" s="21"/>
      <c r="N235" s="27">
        <v>45.055</v>
      </c>
      <c r="O235" s="28">
        <v>45.055</v>
      </c>
      <c r="R235" s="22">
        <v>150.03200000000001</v>
      </c>
      <c r="T235" s="10">
        <v>169.44800000000001</v>
      </c>
      <c r="V235" s="10">
        <v>155.36699999999999</v>
      </c>
      <c r="W235" s="21"/>
    </row>
    <row r="236" spans="1:23" x14ac:dyDescent="0.2">
      <c r="A236" s="20" t="s">
        <v>35</v>
      </c>
      <c r="B236" s="16">
        <v>37.564999999999998</v>
      </c>
      <c r="D236">
        <v>87.525000000000006</v>
      </c>
      <c r="F236" s="10">
        <v>125.09</v>
      </c>
      <c r="H236">
        <v>162.654</v>
      </c>
      <c r="J236">
        <v>187.82300000000001</v>
      </c>
      <c r="K236" s="21"/>
      <c r="N236" s="27">
        <v>37.564999999999998</v>
      </c>
      <c r="O236" s="28">
        <v>37.564999999999998</v>
      </c>
      <c r="R236" s="22">
        <v>125.09</v>
      </c>
      <c r="T236" s="10">
        <v>120.00700000000001</v>
      </c>
      <c r="V236" s="10">
        <v>163.446</v>
      </c>
      <c r="W236" s="21"/>
    </row>
    <row r="237" spans="1:23" x14ac:dyDescent="0.2">
      <c r="A237" s="20" t="s">
        <v>36</v>
      </c>
      <c r="B237" s="16">
        <v>9.4079999999999995</v>
      </c>
      <c r="D237">
        <v>21.92</v>
      </c>
      <c r="F237" s="10">
        <v>31.327999999999999</v>
      </c>
      <c r="H237">
        <v>40.735999999999997</v>
      </c>
      <c r="J237">
        <v>47.039000000000001</v>
      </c>
      <c r="K237" s="21"/>
      <c r="N237" s="27">
        <v>9.4079999999999995</v>
      </c>
      <c r="O237" s="28">
        <v>9.4079999999999995</v>
      </c>
      <c r="R237" s="22">
        <v>31.327999999999999</v>
      </c>
      <c r="T237" s="10">
        <v>28.745000000000001</v>
      </c>
      <c r="V237" s="10">
        <v>32.61</v>
      </c>
      <c r="W237" s="21"/>
    </row>
    <row r="238" spans="1:23" x14ac:dyDescent="0.2">
      <c r="A238" s="20" t="s">
        <v>37</v>
      </c>
      <c r="B238" s="16">
        <v>4.2119999999999997</v>
      </c>
      <c r="D238">
        <v>9.8140000000000001</v>
      </c>
      <c r="F238" s="10">
        <v>14.026</v>
      </c>
      <c r="H238">
        <v>18.236999999999998</v>
      </c>
      <c r="J238">
        <v>21.059000000000001</v>
      </c>
      <c r="K238" s="21"/>
      <c r="N238" s="27">
        <v>4.2119999999999997</v>
      </c>
      <c r="O238" s="28">
        <v>4.2119999999999997</v>
      </c>
      <c r="R238" s="22">
        <v>14.026</v>
      </c>
      <c r="T238" s="10">
        <v>14.461</v>
      </c>
      <c r="V238" s="10">
        <v>13.907999999999999</v>
      </c>
      <c r="W238" s="21"/>
    </row>
    <row r="239" spans="1:23" x14ac:dyDescent="0.2">
      <c r="A239" s="20" t="s">
        <v>26</v>
      </c>
      <c r="B239" s="16">
        <v>4.1749999999999998</v>
      </c>
      <c r="D239">
        <v>9.7279999999999998</v>
      </c>
      <c r="F239" s="10">
        <v>13.903</v>
      </c>
      <c r="H239">
        <v>18.079000000000001</v>
      </c>
      <c r="J239">
        <v>20.876000000000001</v>
      </c>
      <c r="K239" s="21"/>
      <c r="N239" s="27">
        <v>4.1749999999999998</v>
      </c>
      <c r="O239" s="28">
        <v>4.1749999999999998</v>
      </c>
      <c r="R239" s="22">
        <v>13.903</v>
      </c>
      <c r="T239" s="10">
        <v>13.903</v>
      </c>
      <c r="V239" s="10">
        <v>13.903</v>
      </c>
      <c r="W239" s="21"/>
    </row>
    <row r="240" spans="1:23" x14ac:dyDescent="0.2">
      <c r="A240" s="20" t="s">
        <v>27</v>
      </c>
      <c r="B240" s="16">
        <v>4.16</v>
      </c>
      <c r="D240">
        <v>9.6929999999999996</v>
      </c>
      <c r="F240" s="10">
        <v>13.853999999999999</v>
      </c>
      <c r="H240">
        <v>18.013999999999999</v>
      </c>
      <c r="J240">
        <v>20.800999999999998</v>
      </c>
      <c r="K240" s="21"/>
      <c r="N240" s="27">
        <v>4.16</v>
      </c>
      <c r="O240" s="28">
        <v>4.16</v>
      </c>
      <c r="R240" s="22">
        <v>13.853999999999999</v>
      </c>
      <c r="T240" s="10">
        <v>13.853999999999999</v>
      </c>
      <c r="V240" s="10">
        <v>13.896000000000001</v>
      </c>
      <c r="W240" s="21"/>
    </row>
    <row r="241" spans="1:23" x14ac:dyDescent="0.2">
      <c r="A241" s="20" t="s">
        <v>28</v>
      </c>
      <c r="B241" s="16">
        <v>4.3540000000000001</v>
      </c>
      <c r="D241">
        <v>10.145</v>
      </c>
      <c r="F241" s="10">
        <v>14.499000000000001</v>
      </c>
      <c r="H241">
        <v>18.853000000000002</v>
      </c>
      <c r="J241">
        <v>21.771000000000001</v>
      </c>
      <c r="K241" s="21"/>
      <c r="N241" s="27">
        <v>4.3540000000000001</v>
      </c>
      <c r="O241" s="28">
        <v>4.3540000000000001</v>
      </c>
      <c r="R241" s="22">
        <v>14.499000000000001</v>
      </c>
      <c r="T241" s="10">
        <v>14.201000000000001</v>
      </c>
      <c r="V241" s="10">
        <v>14.108000000000001</v>
      </c>
      <c r="W241" s="21"/>
    </row>
    <row r="242" spans="1:23" x14ac:dyDescent="0.2">
      <c r="A242" s="20" t="s">
        <v>29</v>
      </c>
      <c r="B242" s="16">
        <v>32.436</v>
      </c>
      <c r="D242">
        <v>75.575000000000003</v>
      </c>
      <c r="F242" s="10">
        <v>108.01</v>
      </c>
      <c r="H242">
        <v>140.446</v>
      </c>
      <c r="J242">
        <v>162.178</v>
      </c>
      <c r="K242" s="21"/>
      <c r="N242" s="27">
        <v>32.436</v>
      </c>
      <c r="O242" s="28">
        <v>32.436</v>
      </c>
      <c r="R242" s="22">
        <v>108.01</v>
      </c>
      <c r="T242" s="10">
        <v>34.698</v>
      </c>
      <c r="V242" s="10">
        <v>25.596</v>
      </c>
      <c r="W242" s="21"/>
    </row>
    <row r="243" spans="1:23" x14ac:dyDescent="0.2">
      <c r="A243" s="20" t="s">
        <v>30</v>
      </c>
      <c r="B243" s="16">
        <v>129.08000000000001</v>
      </c>
      <c r="D243">
        <v>300.755</v>
      </c>
      <c r="F243" s="10">
        <v>429.83499999999998</v>
      </c>
      <c r="H243">
        <v>558.91399999999999</v>
      </c>
      <c r="J243">
        <v>645.39800000000002</v>
      </c>
      <c r="K243" s="21"/>
      <c r="N243" s="27">
        <v>129.08000000000001</v>
      </c>
      <c r="O243" s="28">
        <v>129.08000000000001</v>
      </c>
      <c r="R243" s="22">
        <v>429.83499999999998</v>
      </c>
      <c r="T243" s="10">
        <v>291.755</v>
      </c>
      <c r="V243" s="10">
        <v>216.00899999999999</v>
      </c>
      <c r="W243" s="21"/>
    </row>
    <row r="244" spans="1:23" x14ac:dyDescent="0.2">
      <c r="A244" s="20" t="s">
        <v>31</v>
      </c>
      <c r="B244" s="16">
        <v>124.613</v>
      </c>
      <c r="D244">
        <v>290.34899999999999</v>
      </c>
      <c r="F244" s="10">
        <v>414.96199999999999</v>
      </c>
      <c r="H244">
        <v>539.57600000000002</v>
      </c>
      <c r="J244">
        <v>623.06700000000001</v>
      </c>
      <c r="K244" s="21"/>
      <c r="N244" s="27">
        <v>124.613</v>
      </c>
      <c r="O244" s="28">
        <v>124.613</v>
      </c>
      <c r="R244" s="22">
        <v>414.96199999999999</v>
      </c>
      <c r="T244" s="10">
        <v>507.40899999999999</v>
      </c>
      <c r="V244" s="10">
        <v>655.95399999999995</v>
      </c>
      <c r="W244" s="21"/>
    </row>
    <row r="245" spans="1:23" x14ac:dyDescent="0.2">
      <c r="A245" s="20" t="s">
        <v>32</v>
      </c>
      <c r="B245" s="16">
        <v>57.673999999999999</v>
      </c>
      <c r="D245">
        <v>134.38</v>
      </c>
      <c r="F245" s="10">
        <v>192.053</v>
      </c>
      <c r="H245">
        <v>249.727</v>
      </c>
      <c r="J245">
        <v>288.36900000000003</v>
      </c>
      <c r="K245" s="21"/>
      <c r="N245" s="27">
        <v>57.673999999999999</v>
      </c>
      <c r="O245" s="28">
        <v>57.673999999999999</v>
      </c>
      <c r="R245" s="22">
        <v>192.053</v>
      </c>
      <c r="T245" s="10">
        <v>496.84699999999998</v>
      </c>
      <c r="V245" s="10">
        <v>548.29600000000005</v>
      </c>
      <c r="W245" s="21"/>
    </row>
    <row r="246" spans="1:23" x14ac:dyDescent="0.2">
      <c r="A246" s="20" t="s">
        <v>33</v>
      </c>
      <c r="B246" s="16">
        <v>52.183</v>
      </c>
      <c r="D246">
        <v>121.587</v>
      </c>
      <c r="F246" s="10">
        <v>173.77099999999999</v>
      </c>
      <c r="H246">
        <v>225.95400000000001</v>
      </c>
      <c r="J246">
        <v>260.91699999999997</v>
      </c>
      <c r="K246" s="21"/>
      <c r="N246" s="27">
        <v>52.183</v>
      </c>
      <c r="O246" s="28">
        <v>52.183</v>
      </c>
      <c r="R246" s="22">
        <v>173.77099999999999</v>
      </c>
      <c r="T246" s="10">
        <v>364.94600000000003</v>
      </c>
      <c r="V246" s="10">
        <v>325.68</v>
      </c>
      <c r="W246" s="21"/>
    </row>
    <row r="247" spans="1:23" x14ac:dyDescent="0.2">
      <c r="A247" s="20" t="s">
        <v>34</v>
      </c>
      <c r="B247" s="16">
        <v>53.134999999999998</v>
      </c>
      <c r="D247">
        <v>123.804</v>
      </c>
      <c r="F247" s="10">
        <v>176.93799999999999</v>
      </c>
      <c r="H247">
        <v>230.07300000000001</v>
      </c>
      <c r="J247">
        <v>265.673</v>
      </c>
      <c r="K247" s="21"/>
      <c r="N247" s="27">
        <v>53.134999999999998</v>
      </c>
      <c r="O247" s="28">
        <v>53.134999999999998</v>
      </c>
      <c r="R247" s="22">
        <v>176.93799999999999</v>
      </c>
      <c r="T247" s="10">
        <v>179.96700000000001</v>
      </c>
      <c r="V247" s="10">
        <v>172.565</v>
      </c>
      <c r="W247" s="21"/>
    </row>
    <row r="248" spans="1:23" x14ac:dyDescent="0.2">
      <c r="A248" s="20" t="s">
        <v>35</v>
      </c>
      <c r="B248" s="16">
        <v>25.670999999999999</v>
      </c>
      <c r="D248">
        <v>59.814</v>
      </c>
      <c r="F248" s="10">
        <v>85.484999999999999</v>
      </c>
      <c r="H248">
        <v>111.15600000000001</v>
      </c>
      <c r="J248">
        <v>128.35599999999999</v>
      </c>
      <c r="K248" s="21"/>
      <c r="N248" s="27">
        <v>25.670999999999999</v>
      </c>
      <c r="O248" s="28">
        <v>25.670999999999999</v>
      </c>
      <c r="R248" s="22">
        <v>85.484999999999999</v>
      </c>
      <c r="T248" s="10">
        <v>62.631999999999998</v>
      </c>
      <c r="V248" s="10">
        <v>58.152999999999999</v>
      </c>
      <c r="W248" s="21"/>
    </row>
    <row r="249" spans="1:23" x14ac:dyDescent="0.2">
      <c r="A249" s="20" t="s">
        <v>36</v>
      </c>
      <c r="B249" s="16">
        <v>6.2229999999999999</v>
      </c>
      <c r="D249">
        <v>14.499000000000001</v>
      </c>
      <c r="F249" s="10">
        <v>20.721</v>
      </c>
      <c r="H249">
        <v>26.943999999999999</v>
      </c>
      <c r="J249">
        <v>31.113</v>
      </c>
      <c r="K249" s="21"/>
      <c r="N249" s="27">
        <v>6.2229999999999999</v>
      </c>
      <c r="O249" s="28">
        <v>6.2229999999999999</v>
      </c>
      <c r="R249" s="22">
        <v>20.721</v>
      </c>
      <c r="T249" s="10">
        <v>14.212</v>
      </c>
      <c r="V249" s="10">
        <v>13.945</v>
      </c>
      <c r="W249" s="21"/>
    </row>
    <row r="250" spans="1:23" x14ac:dyDescent="0.2">
      <c r="A250" s="20" t="s">
        <v>37</v>
      </c>
      <c r="B250" s="16">
        <v>4.1749999999999998</v>
      </c>
      <c r="D250">
        <v>9.7279999999999998</v>
      </c>
      <c r="F250" s="10">
        <v>13.903</v>
      </c>
      <c r="H250">
        <v>18.079000000000001</v>
      </c>
      <c r="J250">
        <v>20.876000000000001</v>
      </c>
      <c r="K250" s="21"/>
      <c r="N250" s="27">
        <v>4.1749999999999998</v>
      </c>
      <c r="O250" s="28">
        <v>4.1749999999999998</v>
      </c>
      <c r="R250" s="22">
        <v>13.903</v>
      </c>
      <c r="T250" s="10">
        <v>13.903</v>
      </c>
      <c r="V250" s="10">
        <v>13.903</v>
      </c>
      <c r="W250" s="21"/>
    </row>
    <row r="251" spans="1:23" x14ac:dyDescent="0.2">
      <c r="A251" s="20" t="s">
        <v>26</v>
      </c>
      <c r="B251" s="16">
        <v>4.1749999999999998</v>
      </c>
      <c r="D251">
        <v>9.7279999999999998</v>
      </c>
      <c r="F251" s="10">
        <v>13.903</v>
      </c>
      <c r="H251">
        <v>18.079000000000001</v>
      </c>
      <c r="J251">
        <v>20.876000000000001</v>
      </c>
      <c r="K251" s="21"/>
      <c r="N251" s="27">
        <v>4.1749999999999998</v>
      </c>
      <c r="O251" s="28">
        <v>4.1749999999999998</v>
      </c>
      <c r="R251" s="22">
        <v>13.903</v>
      </c>
      <c r="T251" s="10">
        <v>13.903</v>
      </c>
      <c r="V251" s="10">
        <v>13.903</v>
      </c>
      <c r="W251" s="21"/>
    </row>
    <row r="252" spans="1:23" x14ac:dyDescent="0.2">
      <c r="A252" s="20" t="s">
        <v>27</v>
      </c>
      <c r="B252" s="16">
        <v>4.16</v>
      </c>
      <c r="D252">
        <v>9.6929999999999996</v>
      </c>
      <c r="F252" s="10">
        <v>13.853999999999999</v>
      </c>
      <c r="H252">
        <v>18.013999999999999</v>
      </c>
      <c r="J252">
        <v>20.800999999999998</v>
      </c>
      <c r="K252" s="21"/>
      <c r="N252" s="27">
        <v>4.16</v>
      </c>
      <c r="O252" s="28">
        <v>4.16</v>
      </c>
      <c r="R252" s="22">
        <v>13.853999999999999</v>
      </c>
      <c r="T252" s="10">
        <v>13.853999999999999</v>
      </c>
      <c r="V252" s="10">
        <v>13.853999999999999</v>
      </c>
      <c r="W252" s="21"/>
    </row>
    <row r="253" spans="1:23" x14ac:dyDescent="0.2">
      <c r="A253" s="20" t="s">
        <v>28</v>
      </c>
      <c r="B253" s="16">
        <v>6.46</v>
      </c>
      <c r="D253">
        <v>15.052</v>
      </c>
      <c r="F253" s="10">
        <v>21.512</v>
      </c>
      <c r="H253">
        <v>27.972000000000001</v>
      </c>
      <c r="J253">
        <v>32.301000000000002</v>
      </c>
      <c r="K253" s="21"/>
      <c r="N253" s="27">
        <v>6.46</v>
      </c>
      <c r="O253" s="28">
        <v>6.46</v>
      </c>
      <c r="R253" s="22">
        <v>21.512</v>
      </c>
      <c r="T253" s="10">
        <v>14.909000000000001</v>
      </c>
      <c r="V253" s="10">
        <v>30.588000000000001</v>
      </c>
      <c r="W253" s="21"/>
    </row>
    <row r="254" spans="1:23" x14ac:dyDescent="0.2">
      <c r="A254" s="20" t="s">
        <v>29</v>
      </c>
      <c r="B254" s="16">
        <v>70.361000000000004</v>
      </c>
      <c r="D254">
        <v>163.941</v>
      </c>
      <c r="F254" s="10">
        <v>234.30199999999999</v>
      </c>
      <c r="H254">
        <v>304.66199999999998</v>
      </c>
      <c r="J254">
        <v>351.80399999999997</v>
      </c>
      <c r="K254" s="21"/>
      <c r="N254" s="27">
        <v>70.361000000000004</v>
      </c>
      <c r="O254" s="28">
        <v>70.361000000000004</v>
      </c>
      <c r="R254" s="22">
        <v>234.30199999999999</v>
      </c>
      <c r="T254" s="10">
        <v>49.567</v>
      </c>
      <c r="V254" s="10">
        <v>95.022000000000006</v>
      </c>
      <c r="W254" s="21"/>
    </row>
    <row r="255" spans="1:23" x14ac:dyDescent="0.2">
      <c r="A255" s="20" t="s">
        <v>30</v>
      </c>
      <c r="B255" s="16">
        <v>142.88</v>
      </c>
      <c r="D255">
        <v>332.91</v>
      </c>
      <c r="F255" s="10">
        <v>475.79</v>
      </c>
      <c r="H255">
        <v>618.66899999999998</v>
      </c>
      <c r="J255">
        <v>714.399</v>
      </c>
      <c r="K255" s="21"/>
      <c r="N255" s="27">
        <v>142.88</v>
      </c>
      <c r="O255" s="28">
        <v>142.88</v>
      </c>
      <c r="R255" s="22">
        <v>475.79</v>
      </c>
      <c r="T255" s="10">
        <v>469.32100000000003</v>
      </c>
      <c r="V255" s="10">
        <v>442.72899999999998</v>
      </c>
      <c r="W255" s="21"/>
    </row>
    <row r="256" spans="1:23" x14ac:dyDescent="0.2">
      <c r="A256" s="20" t="s">
        <v>31</v>
      </c>
      <c r="B256" s="16">
        <v>93.209000000000003</v>
      </c>
      <c r="D256">
        <v>217.17599999999999</v>
      </c>
      <c r="F256" s="10">
        <v>310.38499999999999</v>
      </c>
      <c r="H256">
        <v>403.59399999999999</v>
      </c>
      <c r="J256">
        <v>466.04300000000001</v>
      </c>
      <c r="K256" s="21"/>
      <c r="N256" s="27">
        <v>93.209000000000003</v>
      </c>
      <c r="O256" s="28">
        <v>93.209000000000003</v>
      </c>
      <c r="R256" s="22">
        <v>310.38499999999999</v>
      </c>
      <c r="T256" s="10">
        <v>580.98</v>
      </c>
      <c r="V256" s="10">
        <v>692.56700000000001</v>
      </c>
      <c r="W256" s="21"/>
    </row>
    <row r="257" spans="1:23" x14ac:dyDescent="0.2">
      <c r="A257" s="20" t="s">
        <v>32</v>
      </c>
      <c r="B257" s="16">
        <v>40.225999999999999</v>
      </c>
      <c r="D257">
        <v>93.725999999999999</v>
      </c>
      <c r="F257" s="10">
        <v>133.952</v>
      </c>
      <c r="H257">
        <v>174.178</v>
      </c>
      <c r="J257">
        <v>201.12899999999999</v>
      </c>
      <c r="K257" s="21"/>
      <c r="N257" s="27">
        <v>40.225999999999999</v>
      </c>
      <c r="O257" s="28">
        <v>40.225999999999999</v>
      </c>
      <c r="R257" s="22">
        <v>133.952</v>
      </c>
      <c r="T257" s="10">
        <v>354.03</v>
      </c>
      <c r="V257" s="10">
        <v>352.834</v>
      </c>
      <c r="W257" s="21"/>
    </row>
    <row r="258" spans="1:23" x14ac:dyDescent="0.2">
      <c r="A258" s="20" t="s">
        <v>33</v>
      </c>
      <c r="B258" s="16">
        <v>46.039000000000001</v>
      </c>
      <c r="D258">
        <v>107.27</v>
      </c>
      <c r="F258" s="10">
        <v>153.309</v>
      </c>
      <c r="H258">
        <v>199.34700000000001</v>
      </c>
      <c r="J258">
        <v>230.19300000000001</v>
      </c>
      <c r="K258" s="21"/>
      <c r="N258" s="27">
        <v>46.039000000000001</v>
      </c>
      <c r="O258" s="28">
        <v>46.039000000000001</v>
      </c>
      <c r="R258" s="22">
        <v>153.309</v>
      </c>
      <c r="T258" s="10">
        <v>167.99299999999999</v>
      </c>
      <c r="V258" s="10">
        <v>230.15600000000001</v>
      </c>
      <c r="W258" s="21"/>
    </row>
    <row r="259" spans="1:23" x14ac:dyDescent="0.2">
      <c r="A259" s="20" t="s">
        <v>34</v>
      </c>
      <c r="B259" s="16">
        <v>50.640999999999998</v>
      </c>
      <c r="D259">
        <v>117.994</v>
      </c>
      <c r="F259" s="10">
        <v>168.636</v>
      </c>
      <c r="H259">
        <v>219.27699999999999</v>
      </c>
      <c r="J259">
        <v>253.20599999999999</v>
      </c>
      <c r="K259" s="21"/>
      <c r="N259" s="27">
        <v>50.640999999999998</v>
      </c>
      <c r="O259" s="28">
        <v>50.640999999999998</v>
      </c>
      <c r="R259" s="22">
        <v>168.636</v>
      </c>
      <c r="T259" s="10">
        <v>296.90100000000001</v>
      </c>
      <c r="V259" s="10">
        <v>178.255</v>
      </c>
      <c r="W259" s="21"/>
    </row>
    <row r="260" spans="1:23" x14ac:dyDescent="0.2">
      <c r="A260" s="20" t="s">
        <v>35</v>
      </c>
      <c r="B260" s="16">
        <v>36.917999999999999</v>
      </c>
      <c r="D260">
        <v>86.019000000000005</v>
      </c>
      <c r="F260" s="10">
        <v>122.937</v>
      </c>
      <c r="H260">
        <v>159.85499999999999</v>
      </c>
      <c r="J260">
        <v>184.59</v>
      </c>
      <c r="K260" s="21"/>
      <c r="N260" s="27">
        <v>36.917999999999999</v>
      </c>
      <c r="O260" s="28">
        <v>36.917999999999999</v>
      </c>
      <c r="R260" s="22">
        <v>122.937</v>
      </c>
      <c r="T260" s="10">
        <v>98.698999999999998</v>
      </c>
      <c r="V260" s="10">
        <v>146.59</v>
      </c>
      <c r="W260" s="21"/>
    </row>
    <row r="261" spans="1:23" x14ac:dyDescent="0.2">
      <c r="A261" s="20" t="s">
        <v>36</v>
      </c>
      <c r="B261" s="16">
        <v>6.6079999999999997</v>
      </c>
      <c r="D261">
        <v>15.397</v>
      </c>
      <c r="F261" s="10">
        <v>22.004999999999999</v>
      </c>
      <c r="H261">
        <v>28.613</v>
      </c>
      <c r="J261">
        <v>33.040999999999997</v>
      </c>
      <c r="K261" s="21"/>
      <c r="N261" s="27">
        <v>6.6079999999999997</v>
      </c>
      <c r="O261" s="28">
        <v>6.6079999999999997</v>
      </c>
      <c r="R261" s="22">
        <v>22.004999999999999</v>
      </c>
      <c r="T261" s="10">
        <v>22.405000000000001</v>
      </c>
      <c r="V261" s="10">
        <v>15.718999999999999</v>
      </c>
      <c r="W261" s="21"/>
    </row>
    <row r="262" spans="1:23" x14ac:dyDescent="0.2">
      <c r="A262" s="20" t="s">
        <v>37</v>
      </c>
      <c r="B262" s="16">
        <v>4.1749999999999998</v>
      </c>
      <c r="D262">
        <v>9.7279999999999998</v>
      </c>
      <c r="F262" s="10">
        <v>13.904</v>
      </c>
      <c r="H262">
        <v>18.079000000000001</v>
      </c>
      <c r="J262">
        <v>20.876000000000001</v>
      </c>
      <c r="K262" s="21"/>
      <c r="N262" s="27">
        <v>4.1749999999999998</v>
      </c>
      <c r="O262" s="28">
        <v>4.1749999999999998</v>
      </c>
      <c r="R262" s="22">
        <v>13.904</v>
      </c>
      <c r="T262" s="10">
        <v>13.904</v>
      </c>
      <c r="V262" s="10">
        <v>13.903</v>
      </c>
      <c r="W262" s="21"/>
    </row>
    <row r="263" spans="1:23" x14ac:dyDescent="0.2">
      <c r="A263" s="20" t="s">
        <v>26</v>
      </c>
      <c r="B263" s="16">
        <v>4.1749999999999998</v>
      </c>
      <c r="D263">
        <v>9.7279999999999998</v>
      </c>
      <c r="F263" s="10">
        <v>13.903</v>
      </c>
      <c r="H263">
        <v>18.079000000000001</v>
      </c>
      <c r="J263">
        <v>20.876000000000001</v>
      </c>
      <c r="K263" s="21"/>
      <c r="N263" s="27">
        <v>4.1749999999999998</v>
      </c>
      <c r="O263" s="28">
        <v>4.1749999999999998</v>
      </c>
      <c r="R263" s="22">
        <v>13.903</v>
      </c>
      <c r="T263" s="10">
        <v>13.903</v>
      </c>
      <c r="V263" s="10">
        <v>13.903</v>
      </c>
      <c r="W263" s="21"/>
    </row>
    <row r="264" spans="1:23" x14ac:dyDescent="0.2">
      <c r="A264" s="20" t="s">
        <v>27</v>
      </c>
      <c r="B264" s="16">
        <v>4.1669999999999998</v>
      </c>
      <c r="D264">
        <v>9.7100000000000009</v>
      </c>
      <c r="F264" s="10">
        <v>13.877000000000001</v>
      </c>
      <c r="H264">
        <v>18.045000000000002</v>
      </c>
      <c r="J264">
        <v>20.837</v>
      </c>
      <c r="K264" s="21"/>
      <c r="N264" s="27">
        <v>4.1669999999999998</v>
      </c>
      <c r="O264" s="28">
        <v>4.1669999999999998</v>
      </c>
      <c r="R264" s="22">
        <v>13.877000000000001</v>
      </c>
      <c r="T264" s="10">
        <v>13.853999999999999</v>
      </c>
      <c r="V264" s="10">
        <v>13.853999999999999</v>
      </c>
      <c r="W264" s="21"/>
    </row>
    <row r="265" spans="1:23" x14ac:dyDescent="0.2">
      <c r="A265" s="20" t="s">
        <v>28</v>
      </c>
      <c r="B265" s="16">
        <v>4.9039999999999999</v>
      </c>
      <c r="D265">
        <v>11.426</v>
      </c>
      <c r="F265" s="10">
        <v>16.329000000000001</v>
      </c>
      <c r="H265">
        <v>21.233000000000001</v>
      </c>
      <c r="J265">
        <v>24.518000000000001</v>
      </c>
      <c r="K265" s="21"/>
      <c r="N265" s="27">
        <v>4.9039999999999999</v>
      </c>
      <c r="O265" s="28">
        <v>4.9039999999999999</v>
      </c>
      <c r="R265" s="22">
        <v>16.329000000000001</v>
      </c>
      <c r="T265" s="10">
        <v>14</v>
      </c>
      <c r="V265" s="10">
        <v>14.266</v>
      </c>
      <c r="W265" s="21"/>
    </row>
    <row r="266" spans="1:23" x14ac:dyDescent="0.2">
      <c r="A266" s="20" t="s">
        <v>29</v>
      </c>
      <c r="B266" s="16">
        <v>46.347999999999999</v>
      </c>
      <c r="D266">
        <v>107.99</v>
      </c>
      <c r="F266" s="10">
        <v>154.33799999999999</v>
      </c>
      <c r="H266">
        <v>200.685</v>
      </c>
      <c r="J266">
        <v>231.738</v>
      </c>
      <c r="K266" s="21"/>
      <c r="N266" s="27">
        <v>46.347999999999999</v>
      </c>
      <c r="O266" s="28">
        <v>46.347999999999999</v>
      </c>
      <c r="R266" s="22">
        <v>154.33799999999999</v>
      </c>
      <c r="T266" s="10">
        <v>29.786999999999999</v>
      </c>
      <c r="V266" s="10">
        <v>54.795999999999999</v>
      </c>
      <c r="W266" s="21"/>
    </row>
    <row r="267" spans="1:23" x14ac:dyDescent="0.2">
      <c r="A267" s="20" t="s">
        <v>30</v>
      </c>
      <c r="B267" s="16">
        <v>114.762</v>
      </c>
      <c r="D267">
        <v>267.39600000000002</v>
      </c>
      <c r="F267" s="10">
        <v>382.15899999999999</v>
      </c>
      <c r="H267">
        <v>496.92099999999999</v>
      </c>
      <c r="J267">
        <v>573.81200000000001</v>
      </c>
      <c r="K267" s="21"/>
      <c r="N267" s="27">
        <v>114.762</v>
      </c>
      <c r="O267" s="28">
        <v>114.762</v>
      </c>
      <c r="R267" s="22">
        <v>382.15899999999999</v>
      </c>
      <c r="T267" s="10">
        <v>374.55399999999997</v>
      </c>
      <c r="V267" s="10">
        <v>334.13600000000002</v>
      </c>
      <c r="W267" s="21"/>
    </row>
    <row r="268" spans="1:23" x14ac:dyDescent="0.2">
      <c r="A268" s="20" t="s">
        <v>31</v>
      </c>
      <c r="B268" s="16">
        <v>53.277999999999999</v>
      </c>
      <c r="D268">
        <v>124.137</v>
      </c>
      <c r="F268" s="10">
        <v>177.41499999999999</v>
      </c>
      <c r="H268">
        <v>230.69300000000001</v>
      </c>
      <c r="J268">
        <v>266.38900000000001</v>
      </c>
      <c r="K268" s="21"/>
      <c r="N268" s="27">
        <v>53.277999999999999</v>
      </c>
      <c r="O268" s="28">
        <v>53.277999999999999</v>
      </c>
      <c r="R268" s="22">
        <v>177.41499999999999</v>
      </c>
      <c r="T268" s="10">
        <v>360.69600000000003</v>
      </c>
      <c r="V268" s="10">
        <v>499.92700000000002</v>
      </c>
      <c r="W268" s="21"/>
    </row>
    <row r="269" spans="1:23" x14ac:dyDescent="0.2">
      <c r="A269" s="20" t="s">
        <v>32</v>
      </c>
      <c r="B269" s="16">
        <v>25.759</v>
      </c>
      <c r="D269">
        <v>60.018999999999998</v>
      </c>
      <c r="F269" s="10">
        <v>85.778000000000006</v>
      </c>
      <c r="H269">
        <v>111.53700000000001</v>
      </c>
      <c r="J269">
        <v>128.79499999999999</v>
      </c>
      <c r="K269" s="21"/>
      <c r="N269" s="27">
        <v>25.759</v>
      </c>
      <c r="O269" s="28">
        <v>25.759</v>
      </c>
      <c r="R269" s="22">
        <v>85.778000000000006</v>
      </c>
      <c r="T269" s="10">
        <v>240.964</v>
      </c>
      <c r="V269" s="10">
        <v>284.75599999999997</v>
      </c>
      <c r="W269" s="21"/>
    </row>
    <row r="270" spans="1:23" x14ac:dyDescent="0.2">
      <c r="A270" s="20" t="s">
        <v>33</v>
      </c>
      <c r="B270" s="16">
        <v>44.594999999999999</v>
      </c>
      <c r="D270">
        <v>103.90600000000001</v>
      </c>
      <c r="F270" s="10">
        <v>148.501</v>
      </c>
      <c r="H270">
        <v>193.096</v>
      </c>
      <c r="J270">
        <v>222.97499999999999</v>
      </c>
      <c r="K270" s="21"/>
      <c r="N270" s="27">
        <v>44.594999999999999</v>
      </c>
      <c r="O270" s="28">
        <v>44.594999999999999</v>
      </c>
      <c r="R270" s="22">
        <v>148.501</v>
      </c>
      <c r="T270" s="10">
        <v>201.029</v>
      </c>
      <c r="V270" s="10">
        <v>169.03299999999999</v>
      </c>
      <c r="W270" s="21"/>
    </row>
    <row r="271" spans="1:23" x14ac:dyDescent="0.2">
      <c r="A271" s="20" t="s">
        <v>34</v>
      </c>
      <c r="B271" s="16">
        <v>27.364999999999998</v>
      </c>
      <c r="D271">
        <v>63.76</v>
      </c>
      <c r="F271" s="10">
        <v>91.125</v>
      </c>
      <c r="H271">
        <v>118.489</v>
      </c>
      <c r="J271">
        <v>136.82400000000001</v>
      </c>
      <c r="K271" s="21"/>
      <c r="N271" s="27">
        <v>27.364999999999998</v>
      </c>
      <c r="O271" s="28">
        <v>27.364999999999998</v>
      </c>
      <c r="R271" s="22">
        <v>91.125</v>
      </c>
      <c r="T271" s="10">
        <v>108.765</v>
      </c>
      <c r="V271" s="10">
        <v>133.857</v>
      </c>
      <c r="W271" s="21"/>
    </row>
    <row r="272" spans="1:23" x14ac:dyDescent="0.2">
      <c r="A272" s="20" t="s">
        <v>35</v>
      </c>
      <c r="B272" s="16">
        <v>30.716000000000001</v>
      </c>
      <c r="D272">
        <v>71.569000000000003</v>
      </c>
      <c r="F272" s="10">
        <v>102.286</v>
      </c>
      <c r="H272">
        <v>133.00200000000001</v>
      </c>
      <c r="J272">
        <v>153.58199999999999</v>
      </c>
      <c r="K272" s="21"/>
      <c r="N272" s="27">
        <v>30.716000000000001</v>
      </c>
      <c r="O272" s="28">
        <v>30.716000000000001</v>
      </c>
      <c r="R272" s="22">
        <v>102.286</v>
      </c>
      <c r="T272" s="10">
        <v>56.786000000000001</v>
      </c>
      <c r="V272" s="10">
        <v>63.341000000000001</v>
      </c>
      <c r="W272" s="21"/>
    </row>
    <row r="273" spans="1:23" x14ac:dyDescent="0.2">
      <c r="A273" s="20" t="s">
        <v>36</v>
      </c>
      <c r="B273" s="16">
        <v>4.3209999999999997</v>
      </c>
      <c r="D273">
        <v>10.067</v>
      </c>
      <c r="F273" s="10">
        <v>14.388</v>
      </c>
      <c r="H273">
        <v>18.709</v>
      </c>
      <c r="J273">
        <v>21.603999999999999</v>
      </c>
      <c r="K273" s="21"/>
      <c r="N273" s="27">
        <v>4.3209999999999997</v>
      </c>
      <c r="O273" s="28">
        <v>4.3209999999999997</v>
      </c>
      <c r="R273" s="22">
        <v>14.388</v>
      </c>
      <c r="T273" s="10">
        <v>14.946999999999999</v>
      </c>
      <c r="V273" s="10">
        <v>14.462999999999999</v>
      </c>
      <c r="W273" s="21"/>
    </row>
    <row r="274" spans="1:23" x14ac:dyDescent="0.2">
      <c r="A274" s="20" t="s">
        <v>37</v>
      </c>
      <c r="B274" s="16">
        <v>4.1749999999999998</v>
      </c>
      <c r="D274">
        <v>9.7279999999999998</v>
      </c>
      <c r="F274" s="10">
        <v>13.903</v>
      </c>
      <c r="H274">
        <v>18.079000000000001</v>
      </c>
      <c r="J274">
        <v>20.876000000000001</v>
      </c>
      <c r="K274" s="21"/>
      <c r="N274" s="27">
        <v>4.1749999999999998</v>
      </c>
      <c r="O274" s="28">
        <v>4.1749999999999998</v>
      </c>
      <c r="R274" s="22">
        <v>13.903</v>
      </c>
      <c r="T274" s="10">
        <v>13.906000000000001</v>
      </c>
      <c r="V274" s="10">
        <v>13.903</v>
      </c>
      <c r="W274" s="21"/>
    </row>
    <row r="275" spans="1:23" x14ac:dyDescent="0.2">
      <c r="A275" s="20" t="s">
        <v>26</v>
      </c>
      <c r="B275" s="16">
        <v>4.1749999999999998</v>
      </c>
      <c r="D275">
        <v>9.7279999999999998</v>
      </c>
      <c r="F275" s="10">
        <v>13.903</v>
      </c>
      <c r="H275">
        <v>18.079000000000001</v>
      </c>
      <c r="J275">
        <v>20.876000000000001</v>
      </c>
      <c r="K275" s="21"/>
      <c r="N275" s="27">
        <v>4.1749999999999998</v>
      </c>
      <c r="O275" s="28">
        <v>4.1749999999999998</v>
      </c>
      <c r="R275" s="22">
        <v>13.903</v>
      </c>
      <c r="T275" s="10">
        <v>13.903</v>
      </c>
      <c r="V275" s="10">
        <v>13.903</v>
      </c>
      <c r="W275" s="21"/>
    </row>
    <row r="276" spans="1:23" x14ac:dyDescent="0.2">
      <c r="A276" s="20" t="s">
        <v>27</v>
      </c>
      <c r="B276" s="16">
        <v>4.16</v>
      </c>
      <c r="D276">
        <v>9.6929999999999996</v>
      </c>
      <c r="F276" s="10">
        <v>13.853999999999999</v>
      </c>
      <c r="H276">
        <v>18.013999999999999</v>
      </c>
      <c r="J276">
        <v>20.800999999999998</v>
      </c>
      <c r="K276" s="21"/>
      <c r="N276" s="27">
        <v>4.16</v>
      </c>
      <c r="O276" s="28">
        <v>4.16</v>
      </c>
      <c r="R276" s="22">
        <v>13.853999999999999</v>
      </c>
      <c r="T276" s="10">
        <v>13.853999999999999</v>
      </c>
      <c r="V276" s="10">
        <v>13.853999999999999</v>
      </c>
      <c r="W276" s="21"/>
    </row>
    <row r="277" spans="1:23" x14ac:dyDescent="0.2">
      <c r="A277" s="20" t="s">
        <v>28</v>
      </c>
      <c r="B277" s="16">
        <v>4.2510000000000003</v>
      </c>
      <c r="D277">
        <v>9.9039999999999999</v>
      </c>
      <c r="F277" s="10">
        <v>14.154999999999999</v>
      </c>
      <c r="H277">
        <v>18.405000000000001</v>
      </c>
      <c r="J277">
        <v>21.253</v>
      </c>
      <c r="K277" s="21"/>
      <c r="N277" s="27">
        <v>4.2510000000000003</v>
      </c>
      <c r="O277" s="28">
        <v>4.2510000000000003</v>
      </c>
      <c r="R277" s="22">
        <v>14.154999999999999</v>
      </c>
      <c r="T277" s="10">
        <v>13.903</v>
      </c>
      <c r="V277" s="10">
        <v>13.903</v>
      </c>
      <c r="W277" s="21"/>
    </row>
    <row r="278" spans="1:23" x14ac:dyDescent="0.2">
      <c r="A278" s="20" t="s">
        <v>29</v>
      </c>
      <c r="B278" s="16">
        <v>23.465</v>
      </c>
      <c r="D278">
        <v>54.673999999999999</v>
      </c>
      <c r="F278" s="10">
        <v>78.138999999999996</v>
      </c>
      <c r="H278">
        <v>101.604</v>
      </c>
      <c r="J278">
        <v>117.32599999999999</v>
      </c>
      <c r="K278" s="21"/>
      <c r="N278" s="27">
        <v>23.465</v>
      </c>
      <c r="O278" s="28">
        <v>23.465</v>
      </c>
      <c r="R278" s="22">
        <v>78.138999999999996</v>
      </c>
      <c r="T278" s="10">
        <v>21.361000000000001</v>
      </c>
      <c r="V278" s="10">
        <v>21.814</v>
      </c>
      <c r="W278" s="21"/>
    </row>
    <row r="279" spans="1:23" x14ac:dyDescent="0.2">
      <c r="A279" s="20" t="s">
        <v>30</v>
      </c>
      <c r="B279" s="16">
        <v>127.583</v>
      </c>
      <c r="D279">
        <v>297.26799999999997</v>
      </c>
      <c r="F279" s="10">
        <v>424.85</v>
      </c>
      <c r="H279">
        <v>552.43299999999999</v>
      </c>
      <c r="J279">
        <v>637.91300000000001</v>
      </c>
      <c r="K279" s="21"/>
      <c r="N279" s="27">
        <v>127.583</v>
      </c>
      <c r="O279" s="28">
        <v>127.583</v>
      </c>
      <c r="R279" s="22">
        <v>424.85</v>
      </c>
      <c r="T279" s="10">
        <v>315.64800000000002</v>
      </c>
      <c r="V279" s="10">
        <v>235.482</v>
      </c>
      <c r="W279" s="21"/>
    </row>
    <row r="280" spans="1:23" x14ac:dyDescent="0.2">
      <c r="A280" s="20" t="s">
        <v>31</v>
      </c>
      <c r="B280" s="16">
        <v>109.44199999999999</v>
      </c>
      <c r="D280">
        <v>255.001</v>
      </c>
      <c r="F280" s="10">
        <v>364.44299999999998</v>
      </c>
      <c r="H280">
        <v>473.88600000000002</v>
      </c>
      <c r="J280">
        <v>547.21199999999999</v>
      </c>
      <c r="K280" s="21"/>
      <c r="N280" s="27">
        <v>109.44199999999999</v>
      </c>
      <c r="O280" s="28">
        <v>109.44199999999999</v>
      </c>
      <c r="R280" s="22">
        <v>364.44299999999998</v>
      </c>
      <c r="T280" s="10">
        <v>404.46300000000002</v>
      </c>
      <c r="V280" s="10">
        <v>606.21900000000005</v>
      </c>
      <c r="W280" s="21"/>
    </row>
    <row r="281" spans="1:23" x14ac:dyDescent="0.2">
      <c r="A281" s="20" t="s">
        <v>32</v>
      </c>
      <c r="B281" s="16">
        <v>52.040999999999997</v>
      </c>
      <c r="D281">
        <v>121.256</v>
      </c>
      <c r="F281" s="10">
        <v>173.298</v>
      </c>
      <c r="H281">
        <v>225.339</v>
      </c>
      <c r="J281">
        <v>260.20699999999999</v>
      </c>
      <c r="K281" s="21"/>
      <c r="N281" s="27">
        <v>52.040999999999997</v>
      </c>
      <c r="O281" s="28">
        <v>52.040999999999997</v>
      </c>
      <c r="R281" s="22">
        <v>173.298</v>
      </c>
      <c r="T281" s="10">
        <v>444.72399999999999</v>
      </c>
      <c r="V281" s="10">
        <v>499.07499999999999</v>
      </c>
      <c r="W281" s="21"/>
    </row>
    <row r="282" spans="1:23" x14ac:dyDescent="0.2">
      <c r="A282" s="20" t="s">
        <v>33</v>
      </c>
      <c r="B282" s="16">
        <v>45</v>
      </c>
      <c r="D282">
        <v>104.851</v>
      </c>
      <c r="F282" s="10">
        <v>149.851</v>
      </c>
      <c r="H282">
        <v>194.852</v>
      </c>
      <c r="J282">
        <v>225.00200000000001</v>
      </c>
      <c r="K282" s="21"/>
      <c r="N282" s="27">
        <v>45</v>
      </c>
      <c r="O282" s="28">
        <v>45</v>
      </c>
      <c r="R282" s="22">
        <v>149.851</v>
      </c>
      <c r="T282" s="10">
        <v>285.60399999999998</v>
      </c>
      <c r="V282" s="10">
        <v>278.83199999999999</v>
      </c>
      <c r="W282" s="21"/>
    </row>
    <row r="283" spans="1:23" x14ac:dyDescent="0.2">
      <c r="A283" s="20" t="s">
        <v>34</v>
      </c>
      <c r="B283" s="16">
        <v>49.545999999999999</v>
      </c>
      <c r="D283">
        <v>115.44199999999999</v>
      </c>
      <c r="F283" s="10">
        <v>164.988</v>
      </c>
      <c r="H283">
        <v>214.53299999999999</v>
      </c>
      <c r="J283">
        <v>247.72900000000001</v>
      </c>
      <c r="K283" s="21"/>
      <c r="N283" s="27">
        <v>49.545999999999999</v>
      </c>
      <c r="O283" s="28">
        <v>49.545999999999999</v>
      </c>
      <c r="R283" s="22">
        <v>164.988</v>
      </c>
      <c r="T283" s="10">
        <v>168.85599999999999</v>
      </c>
      <c r="V283" s="10">
        <v>157.38499999999999</v>
      </c>
      <c r="W283" s="21"/>
    </row>
    <row r="284" spans="1:23" x14ac:dyDescent="0.2">
      <c r="A284" s="20" t="s">
        <v>35</v>
      </c>
      <c r="B284" s="16">
        <v>24.486999999999998</v>
      </c>
      <c r="D284">
        <v>57.054000000000002</v>
      </c>
      <c r="F284" s="10">
        <v>81.540999999999997</v>
      </c>
      <c r="H284">
        <v>106.02800000000001</v>
      </c>
      <c r="J284">
        <v>122.434</v>
      </c>
      <c r="K284" s="21"/>
      <c r="N284" s="27">
        <v>24.486999999999998</v>
      </c>
      <c r="O284" s="28">
        <v>24.486999999999998</v>
      </c>
      <c r="R284" s="22">
        <v>81.540999999999997</v>
      </c>
      <c r="T284" s="10">
        <v>64.605000000000004</v>
      </c>
      <c r="V284" s="10">
        <v>57.594999999999999</v>
      </c>
      <c r="W284" s="21"/>
    </row>
    <row r="285" spans="1:23" x14ac:dyDescent="0.2">
      <c r="A285" s="20" t="s">
        <v>36</v>
      </c>
      <c r="B285" s="16">
        <v>6.1989999999999998</v>
      </c>
      <c r="D285">
        <v>14.444000000000001</v>
      </c>
      <c r="F285" s="10">
        <v>20.643000000000001</v>
      </c>
      <c r="H285">
        <v>26.841999999999999</v>
      </c>
      <c r="J285">
        <v>30.995999999999999</v>
      </c>
      <c r="K285" s="21"/>
      <c r="N285" s="27">
        <v>6.1989999999999998</v>
      </c>
      <c r="O285" s="28">
        <v>6.1989999999999998</v>
      </c>
      <c r="R285" s="22">
        <v>20.643000000000001</v>
      </c>
      <c r="T285" s="10">
        <v>14.59</v>
      </c>
      <c r="V285" s="10">
        <v>15.358000000000001</v>
      </c>
      <c r="W285" s="21"/>
    </row>
    <row r="286" spans="1:23" x14ac:dyDescent="0.2">
      <c r="A286" s="20" t="s">
        <v>37</v>
      </c>
      <c r="B286" s="16">
        <v>4.1749999999999998</v>
      </c>
      <c r="D286">
        <v>9.7279999999999998</v>
      </c>
      <c r="F286" s="10">
        <v>13.903</v>
      </c>
      <c r="H286">
        <v>18.079000000000001</v>
      </c>
      <c r="J286">
        <v>20.876000000000001</v>
      </c>
      <c r="K286" s="21"/>
      <c r="N286" s="27">
        <v>4.1749999999999998</v>
      </c>
      <c r="O286" s="28">
        <v>4.1749999999999998</v>
      </c>
      <c r="R286" s="22">
        <v>13.903</v>
      </c>
      <c r="T286" s="10">
        <v>13.903</v>
      </c>
      <c r="V286" s="10">
        <v>13.903</v>
      </c>
      <c r="W286" s="21"/>
    </row>
    <row r="287" spans="1:23" x14ac:dyDescent="0.2">
      <c r="A287" s="20" t="s">
        <v>26</v>
      </c>
      <c r="B287" s="16">
        <v>4.1749999999999998</v>
      </c>
      <c r="D287">
        <v>9.7279999999999998</v>
      </c>
      <c r="F287" s="10">
        <v>13.903</v>
      </c>
      <c r="H287">
        <v>18.079000000000001</v>
      </c>
      <c r="J287">
        <v>20.876000000000001</v>
      </c>
      <c r="K287" s="21"/>
      <c r="N287" s="27">
        <v>4.1749999999999998</v>
      </c>
      <c r="O287" s="28">
        <v>4.1749999999999998</v>
      </c>
      <c r="R287" s="22">
        <v>13.903</v>
      </c>
      <c r="T287" s="10">
        <v>13.903</v>
      </c>
      <c r="V287" s="10">
        <v>13.903</v>
      </c>
      <c r="W287" s="21"/>
    </row>
    <row r="288" spans="1:23" x14ac:dyDescent="0.2">
      <c r="A288" s="20" t="s">
        <v>27</v>
      </c>
      <c r="B288" s="16">
        <v>4.165</v>
      </c>
      <c r="D288">
        <v>9.7040000000000006</v>
      </c>
      <c r="F288" s="10">
        <v>13.869</v>
      </c>
      <c r="H288">
        <v>18.033999999999999</v>
      </c>
      <c r="J288">
        <v>20.824999999999999</v>
      </c>
      <c r="K288" s="21"/>
      <c r="N288" s="27">
        <v>4.165</v>
      </c>
      <c r="O288" s="28">
        <v>4.165</v>
      </c>
      <c r="R288" s="22">
        <v>13.869</v>
      </c>
      <c r="T288" s="10">
        <v>13.853999999999999</v>
      </c>
      <c r="V288" s="10">
        <v>13.853999999999999</v>
      </c>
      <c r="W288" s="21"/>
    </row>
    <row r="289" spans="1:23" x14ac:dyDescent="0.2">
      <c r="A289" s="20" t="s">
        <v>28</v>
      </c>
      <c r="B289" s="16">
        <v>5.6619999999999999</v>
      </c>
      <c r="D289">
        <v>13.192</v>
      </c>
      <c r="F289" s="10">
        <v>18.853999999999999</v>
      </c>
      <c r="H289">
        <v>24.515999999999998</v>
      </c>
      <c r="J289">
        <v>28.309000000000001</v>
      </c>
      <c r="K289" s="21"/>
      <c r="N289" s="27">
        <v>5.6619999999999999</v>
      </c>
      <c r="O289" s="28">
        <v>5.6619999999999999</v>
      </c>
      <c r="R289" s="22">
        <v>18.853999999999999</v>
      </c>
      <c r="T289" s="10">
        <v>14.081</v>
      </c>
      <c r="V289" s="10">
        <v>15.047000000000001</v>
      </c>
      <c r="W289" s="21"/>
    </row>
    <row r="290" spans="1:23" x14ac:dyDescent="0.2">
      <c r="A290" s="20" t="s">
        <v>29</v>
      </c>
      <c r="B290" s="16">
        <v>56.965000000000003</v>
      </c>
      <c r="D290">
        <v>132.72900000000001</v>
      </c>
      <c r="F290" s="10">
        <v>189.69399999999999</v>
      </c>
      <c r="H290">
        <v>246.65899999999999</v>
      </c>
      <c r="J290">
        <v>284.82600000000002</v>
      </c>
      <c r="K290" s="21"/>
      <c r="N290" s="27">
        <v>56.965000000000003</v>
      </c>
      <c r="O290" s="28">
        <v>56.965000000000003</v>
      </c>
      <c r="R290" s="22">
        <v>189.69399999999999</v>
      </c>
      <c r="T290" s="10">
        <v>40.405999999999999</v>
      </c>
      <c r="V290" s="10">
        <v>81.043999999999997</v>
      </c>
      <c r="W290" s="21"/>
    </row>
    <row r="291" spans="1:23" x14ac:dyDescent="0.2">
      <c r="A291" s="20" t="s">
        <v>30</v>
      </c>
      <c r="B291" s="16">
        <v>125.044</v>
      </c>
      <c r="D291">
        <v>291.35199999999998</v>
      </c>
      <c r="F291" s="10">
        <v>416.39499999999998</v>
      </c>
      <c r="H291">
        <v>541.43899999999996</v>
      </c>
      <c r="J291">
        <v>625.21799999999996</v>
      </c>
      <c r="K291" s="21"/>
      <c r="N291" s="27">
        <v>125.044</v>
      </c>
      <c r="O291" s="28">
        <v>125.044</v>
      </c>
      <c r="R291" s="22">
        <v>416.39499999999998</v>
      </c>
      <c r="T291" s="10">
        <v>420.33499999999998</v>
      </c>
      <c r="V291" s="10">
        <v>412.80900000000003</v>
      </c>
      <c r="W291" s="21"/>
    </row>
    <row r="292" spans="1:23" x14ac:dyDescent="0.2">
      <c r="A292" s="20" t="s">
        <v>31</v>
      </c>
      <c r="B292" s="16">
        <v>71.680999999999997</v>
      </c>
      <c r="D292">
        <v>167.017</v>
      </c>
      <c r="F292" s="10">
        <v>238.69800000000001</v>
      </c>
      <c r="H292">
        <v>310.37900000000002</v>
      </c>
      <c r="J292">
        <v>358.40499999999997</v>
      </c>
      <c r="K292" s="21"/>
      <c r="N292" s="27">
        <v>71.680999999999997</v>
      </c>
      <c r="O292" s="28">
        <v>71.680999999999997</v>
      </c>
      <c r="R292" s="22">
        <v>238.69800000000001</v>
      </c>
      <c r="T292" s="10">
        <v>455.81799999999998</v>
      </c>
      <c r="V292" s="10">
        <v>600.87900000000002</v>
      </c>
      <c r="W292" s="21"/>
    </row>
    <row r="293" spans="1:23" x14ac:dyDescent="0.2">
      <c r="A293" s="20" t="s">
        <v>32</v>
      </c>
      <c r="B293" s="16">
        <v>29.77</v>
      </c>
      <c r="D293">
        <v>69.364999999999995</v>
      </c>
      <c r="F293" s="10">
        <v>99.135000000000005</v>
      </c>
      <c r="H293">
        <v>128.905</v>
      </c>
      <c r="J293">
        <v>148.851</v>
      </c>
      <c r="K293" s="21"/>
      <c r="N293" s="27">
        <v>29.77</v>
      </c>
      <c r="O293" s="28">
        <v>29.77</v>
      </c>
      <c r="R293" s="22">
        <v>99.135000000000005</v>
      </c>
      <c r="T293" s="10">
        <v>257.74</v>
      </c>
      <c r="V293" s="10">
        <v>269.74799999999999</v>
      </c>
      <c r="W293" s="21"/>
    </row>
    <row r="294" spans="1:23" x14ac:dyDescent="0.2">
      <c r="A294" s="20" t="s">
        <v>33</v>
      </c>
      <c r="B294" s="16">
        <v>33.844999999999999</v>
      </c>
      <c r="D294">
        <v>78.858999999999995</v>
      </c>
      <c r="F294" s="10">
        <v>112.70399999999999</v>
      </c>
      <c r="H294">
        <v>146.548</v>
      </c>
      <c r="J294">
        <v>169.22499999999999</v>
      </c>
      <c r="K294" s="21"/>
      <c r="N294" s="27">
        <v>33.844999999999999</v>
      </c>
      <c r="O294" s="28">
        <v>33.844999999999999</v>
      </c>
      <c r="R294" s="22">
        <v>112.70399999999999</v>
      </c>
      <c r="T294" s="10">
        <v>210.73400000000001</v>
      </c>
      <c r="V294" s="10">
        <v>167.28</v>
      </c>
      <c r="W294" s="21"/>
    </row>
    <row r="295" spans="1:23" x14ac:dyDescent="0.2">
      <c r="A295" s="20" t="s">
        <v>34</v>
      </c>
      <c r="B295" s="16">
        <v>32.570999999999998</v>
      </c>
      <c r="D295">
        <v>75.891000000000005</v>
      </c>
      <c r="F295" s="10">
        <v>108.462</v>
      </c>
      <c r="H295">
        <v>141.03399999999999</v>
      </c>
      <c r="J295">
        <v>162.85599999999999</v>
      </c>
      <c r="K295" s="21"/>
      <c r="N295" s="27">
        <v>32.570999999999998</v>
      </c>
      <c r="O295" s="28">
        <v>32.570999999999998</v>
      </c>
      <c r="R295" s="22">
        <v>108.462</v>
      </c>
      <c r="T295" s="10">
        <v>131.96899999999999</v>
      </c>
      <c r="V295" s="10">
        <v>145.85300000000001</v>
      </c>
      <c r="W295" s="21"/>
    </row>
    <row r="296" spans="1:23" x14ac:dyDescent="0.2">
      <c r="A296" s="20" t="s">
        <v>35</v>
      </c>
      <c r="B296" s="16">
        <v>27.018000000000001</v>
      </c>
      <c r="D296">
        <v>62.953000000000003</v>
      </c>
      <c r="F296" s="10">
        <v>89.971000000000004</v>
      </c>
      <c r="H296">
        <v>116.989</v>
      </c>
      <c r="J296">
        <v>135.09100000000001</v>
      </c>
      <c r="K296" s="21"/>
      <c r="N296" s="27">
        <v>27.018000000000001</v>
      </c>
      <c r="O296" s="28">
        <v>27.018000000000001</v>
      </c>
      <c r="R296" s="22">
        <v>89.971000000000004</v>
      </c>
      <c r="T296" s="10">
        <v>72.501000000000005</v>
      </c>
      <c r="V296" s="10">
        <v>74.296999999999997</v>
      </c>
      <c r="W296" s="21"/>
    </row>
    <row r="297" spans="1:23" x14ac:dyDescent="0.2">
      <c r="A297" s="20" t="s">
        <v>36</v>
      </c>
      <c r="B297" s="16">
        <v>9.2750000000000004</v>
      </c>
      <c r="D297">
        <v>21.611000000000001</v>
      </c>
      <c r="F297" s="10">
        <v>30.885999999999999</v>
      </c>
      <c r="H297">
        <v>40.161000000000001</v>
      </c>
      <c r="J297">
        <v>46.375999999999998</v>
      </c>
      <c r="K297" s="21"/>
      <c r="N297" s="27">
        <v>9.2750000000000004</v>
      </c>
      <c r="O297" s="28">
        <v>9.2750000000000004</v>
      </c>
      <c r="R297" s="22">
        <v>30.885999999999999</v>
      </c>
      <c r="T297" s="10">
        <v>17.311</v>
      </c>
      <c r="V297" s="10">
        <v>26.803999999999998</v>
      </c>
      <c r="W297" s="21"/>
    </row>
    <row r="298" spans="1:23" x14ac:dyDescent="0.2">
      <c r="A298" s="20" t="s">
        <v>37</v>
      </c>
      <c r="B298" s="16">
        <v>4.1760000000000002</v>
      </c>
      <c r="D298">
        <v>9.7309999999999999</v>
      </c>
      <c r="F298" s="10">
        <v>13.907999999999999</v>
      </c>
      <c r="H298">
        <v>18.084</v>
      </c>
      <c r="J298">
        <v>20.882000000000001</v>
      </c>
      <c r="K298" s="21"/>
      <c r="N298" s="27">
        <v>4.1760000000000002</v>
      </c>
      <c r="O298" s="28">
        <v>4.1760000000000002</v>
      </c>
      <c r="R298" s="22">
        <v>13.907999999999999</v>
      </c>
      <c r="T298" s="10">
        <v>13.914999999999999</v>
      </c>
      <c r="V298" s="10">
        <v>13.904</v>
      </c>
      <c r="W298" s="21"/>
    </row>
    <row r="299" spans="1:23" x14ac:dyDescent="0.2">
      <c r="A299" s="20" t="s">
        <v>26</v>
      </c>
      <c r="B299" s="16">
        <v>4.1749999999999998</v>
      </c>
      <c r="D299">
        <v>9.7279999999999998</v>
      </c>
      <c r="F299" s="10">
        <v>13.903</v>
      </c>
      <c r="H299">
        <v>18.079000000000001</v>
      </c>
      <c r="J299">
        <v>20.876000000000001</v>
      </c>
      <c r="K299" s="21"/>
      <c r="N299" s="27">
        <v>4.1749999999999998</v>
      </c>
      <c r="O299" s="28">
        <v>4.1749999999999998</v>
      </c>
      <c r="R299" s="22">
        <v>13.903</v>
      </c>
      <c r="T299" s="10">
        <v>13.903</v>
      </c>
      <c r="V299" s="10">
        <v>13.903</v>
      </c>
      <c r="W299" s="21"/>
    </row>
    <row r="300" spans="1:23" x14ac:dyDescent="0.2">
      <c r="A300" s="20" t="s">
        <v>27</v>
      </c>
      <c r="B300" s="16">
        <v>4.16</v>
      </c>
      <c r="D300">
        <v>9.6929999999999996</v>
      </c>
      <c r="F300" s="10">
        <v>13.853999999999999</v>
      </c>
      <c r="H300">
        <v>18.013999999999999</v>
      </c>
      <c r="J300">
        <v>20.800999999999998</v>
      </c>
      <c r="K300" s="21"/>
      <c r="N300" s="27">
        <v>4.16</v>
      </c>
      <c r="O300" s="28">
        <v>4.16</v>
      </c>
      <c r="R300" s="22">
        <v>13.853999999999999</v>
      </c>
      <c r="T300" s="10">
        <v>13.853999999999999</v>
      </c>
      <c r="V300" s="10">
        <v>13.853999999999999</v>
      </c>
      <c r="W300" s="21"/>
    </row>
    <row r="301" spans="1:23" x14ac:dyDescent="0.2">
      <c r="A301" s="20" t="s">
        <v>28</v>
      </c>
      <c r="B301" s="16">
        <v>4.2619999999999996</v>
      </c>
      <c r="D301">
        <v>9.9309999999999992</v>
      </c>
      <c r="F301" s="10">
        <v>14.193</v>
      </c>
      <c r="H301">
        <v>18.454999999999998</v>
      </c>
      <c r="J301">
        <v>21.311</v>
      </c>
      <c r="K301" s="21"/>
      <c r="N301" s="27">
        <v>4.2619999999999996</v>
      </c>
      <c r="O301" s="28">
        <v>4.2619999999999996</v>
      </c>
      <c r="R301" s="22">
        <v>14.193</v>
      </c>
      <c r="T301" s="10">
        <v>13.946</v>
      </c>
      <c r="V301" s="10">
        <v>13.925000000000001</v>
      </c>
      <c r="W301" s="21"/>
    </row>
    <row r="302" spans="1:23" x14ac:dyDescent="0.2">
      <c r="A302" s="20" t="s">
        <v>29</v>
      </c>
      <c r="B302" s="16">
        <v>17.690999999999999</v>
      </c>
      <c r="D302">
        <v>41.220999999999997</v>
      </c>
      <c r="F302" s="10">
        <v>58.911999999999999</v>
      </c>
      <c r="H302">
        <v>76.602999999999994</v>
      </c>
      <c r="J302">
        <v>88.456000000000003</v>
      </c>
      <c r="K302" s="21"/>
      <c r="N302" s="27">
        <v>17.690999999999999</v>
      </c>
      <c r="O302" s="28">
        <v>17.690999999999999</v>
      </c>
      <c r="R302" s="22">
        <v>58.911999999999999</v>
      </c>
      <c r="T302" s="10">
        <v>16.446999999999999</v>
      </c>
      <c r="V302" s="10">
        <v>17.225000000000001</v>
      </c>
      <c r="W302" s="21"/>
    </row>
    <row r="303" spans="1:23" x14ac:dyDescent="0.2">
      <c r="A303" s="20" t="s">
        <v>30</v>
      </c>
      <c r="B303" s="16">
        <v>104.71299999999999</v>
      </c>
      <c r="D303">
        <v>243.98099999999999</v>
      </c>
      <c r="F303" s="10">
        <v>348.69299999999998</v>
      </c>
      <c r="H303">
        <v>453.40600000000001</v>
      </c>
      <c r="J303">
        <v>523.56399999999996</v>
      </c>
      <c r="K303" s="21"/>
      <c r="N303" s="27">
        <v>104.71299999999999</v>
      </c>
      <c r="O303" s="28">
        <v>104.71299999999999</v>
      </c>
      <c r="R303" s="22">
        <v>348.69299999999998</v>
      </c>
      <c r="T303" s="10">
        <v>232.16499999999999</v>
      </c>
      <c r="V303" s="10">
        <v>145.56700000000001</v>
      </c>
      <c r="W303" s="21"/>
    </row>
    <row r="304" spans="1:23" x14ac:dyDescent="0.2">
      <c r="A304" s="20" t="s">
        <v>31</v>
      </c>
      <c r="B304" s="16">
        <v>103.21299999999999</v>
      </c>
      <c r="D304">
        <v>240.48599999999999</v>
      </c>
      <c r="F304" s="10">
        <v>343.69900000000001</v>
      </c>
      <c r="H304">
        <v>446.91199999999998</v>
      </c>
      <c r="J304">
        <v>516.06500000000005</v>
      </c>
      <c r="K304" s="21"/>
      <c r="N304" s="27">
        <v>103.21299999999999</v>
      </c>
      <c r="O304" s="28">
        <v>103.21299999999999</v>
      </c>
      <c r="R304" s="22">
        <v>343.69900000000001</v>
      </c>
      <c r="T304" s="10">
        <v>395.23599999999999</v>
      </c>
      <c r="V304" s="10">
        <v>503.154</v>
      </c>
      <c r="W304" s="21"/>
    </row>
    <row r="305" spans="1:23" x14ac:dyDescent="0.2">
      <c r="A305" s="20" t="s">
        <v>32</v>
      </c>
      <c r="B305" s="16">
        <v>53.883000000000003</v>
      </c>
      <c r="D305">
        <v>125.548</v>
      </c>
      <c r="F305" s="10">
        <v>179.43100000000001</v>
      </c>
      <c r="H305">
        <v>233.31399999999999</v>
      </c>
      <c r="J305">
        <v>269.41500000000002</v>
      </c>
      <c r="K305" s="21"/>
      <c r="N305" s="27">
        <v>53.883000000000003</v>
      </c>
      <c r="O305" s="28">
        <v>53.883000000000003</v>
      </c>
      <c r="R305" s="22">
        <v>179.43100000000001</v>
      </c>
      <c r="T305" s="10">
        <v>383.87799999999999</v>
      </c>
      <c r="V305" s="10">
        <v>492.26</v>
      </c>
      <c r="W305" s="21"/>
    </row>
    <row r="306" spans="1:23" x14ac:dyDescent="0.2">
      <c r="A306" s="20" t="s">
        <v>33</v>
      </c>
      <c r="B306" s="16">
        <v>48.421999999999997</v>
      </c>
      <c r="D306">
        <v>112.82299999999999</v>
      </c>
      <c r="F306" s="10">
        <v>161.24600000000001</v>
      </c>
      <c r="H306">
        <v>209.66800000000001</v>
      </c>
      <c r="J306">
        <v>242.11</v>
      </c>
      <c r="K306" s="21"/>
      <c r="N306" s="27">
        <v>48.421999999999997</v>
      </c>
      <c r="O306" s="28">
        <v>48.421999999999997</v>
      </c>
      <c r="R306" s="22">
        <v>161.24600000000001</v>
      </c>
      <c r="T306" s="10">
        <v>282.04000000000002</v>
      </c>
      <c r="V306" s="10">
        <v>313.74700000000001</v>
      </c>
      <c r="W306" s="21"/>
    </row>
    <row r="307" spans="1:23" x14ac:dyDescent="0.2">
      <c r="A307" s="20" t="s">
        <v>34</v>
      </c>
      <c r="B307" s="16">
        <v>30.452000000000002</v>
      </c>
      <c r="D307">
        <v>70.953999999999994</v>
      </c>
      <c r="F307" s="10">
        <v>101.407</v>
      </c>
      <c r="H307">
        <v>131.85900000000001</v>
      </c>
      <c r="J307">
        <v>152.262</v>
      </c>
      <c r="K307" s="21"/>
      <c r="N307" s="27">
        <v>30.452000000000002</v>
      </c>
      <c r="O307" s="28">
        <v>30.452000000000002</v>
      </c>
      <c r="R307" s="22">
        <v>101.407</v>
      </c>
      <c r="T307" s="10">
        <v>181.20400000000001</v>
      </c>
      <c r="V307" s="10">
        <v>130.29599999999999</v>
      </c>
      <c r="W307" s="21"/>
    </row>
    <row r="308" spans="1:23" x14ac:dyDescent="0.2">
      <c r="A308" s="20" t="s">
        <v>35</v>
      </c>
      <c r="B308" s="16">
        <v>29.055</v>
      </c>
      <c r="D308">
        <v>67.698999999999998</v>
      </c>
      <c r="F308" s="10">
        <v>96.754000000000005</v>
      </c>
      <c r="H308">
        <v>125.81</v>
      </c>
      <c r="J308">
        <v>145.27699999999999</v>
      </c>
      <c r="K308" s="21"/>
      <c r="N308" s="27">
        <v>29.055</v>
      </c>
      <c r="O308" s="28">
        <v>29.055</v>
      </c>
      <c r="R308" s="22">
        <v>96.754000000000005</v>
      </c>
      <c r="T308" s="10">
        <v>36.54</v>
      </c>
      <c r="V308" s="10">
        <v>52.78</v>
      </c>
      <c r="W308" s="21"/>
    </row>
    <row r="309" spans="1:23" x14ac:dyDescent="0.2">
      <c r="A309" s="20" t="s">
        <v>36</v>
      </c>
      <c r="B309" s="16">
        <v>4.1769999999999996</v>
      </c>
      <c r="D309">
        <v>9.7319999999999993</v>
      </c>
      <c r="F309" s="10">
        <v>13.909000000000001</v>
      </c>
      <c r="H309">
        <v>18.085999999999999</v>
      </c>
      <c r="J309">
        <v>20.885000000000002</v>
      </c>
      <c r="K309" s="21"/>
      <c r="N309" s="27">
        <v>4.1769999999999996</v>
      </c>
      <c r="O309" s="28">
        <v>4.1769999999999996</v>
      </c>
      <c r="R309" s="22">
        <v>13.909000000000001</v>
      </c>
      <c r="T309" s="10">
        <v>13.984999999999999</v>
      </c>
      <c r="V309" s="10">
        <v>13.903</v>
      </c>
      <c r="W309" s="21"/>
    </row>
    <row r="310" spans="1:23" x14ac:dyDescent="0.2">
      <c r="A310" s="20" t="s">
        <v>37</v>
      </c>
      <c r="B310" s="16">
        <v>4.1749999999999998</v>
      </c>
      <c r="D310">
        <v>9.7279999999999998</v>
      </c>
      <c r="F310" s="10">
        <v>13.903</v>
      </c>
      <c r="H310">
        <v>18.079000000000001</v>
      </c>
      <c r="J310">
        <v>20.876000000000001</v>
      </c>
      <c r="K310" s="21"/>
      <c r="N310" s="27">
        <v>4.1749999999999998</v>
      </c>
      <c r="O310" s="28">
        <v>4.1749999999999998</v>
      </c>
      <c r="R310" s="22">
        <v>13.903</v>
      </c>
      <c r="T310" s="10">
        <v>13.903</v>
      </c>
      <c r="V310" s="10">
        <v>13.903</v>
      </c>
      <c r="W310" s="21"/>
    </row>
    <row r="311" spans="1:23" x14ac:dyDescent="0.2">
      <c r="A311" s="20" t="s">
        <v>26</v>
      </c>
      <c r="B311" s="16">
        <v>4.1749999999999998</v>
      </c>
      <c r="D311">
        <v>9.7279999999999998</v>
      </c>
      <c r="F311" s="10">
        <v>13.903</v>
      </c>
      <c r="H311">
        <v>18.079000000000001</v>
      </c>
      <c r="J311">
        <v>20.876000000000001</v>
      </c>
      <c r="K311" s="21"/>
      <c r="N311" s="27">
        <v>4.1749999999999998</v>
      </c>
      <c r="O311" s="28">
        <v>4.1749999999999998</v>
      </c>
      <c r="R311" s="22">
        <v>13.903</v>
      </c>
      <c r="T311" s="10">
        <v>13.903</v>
      </c>
      <c r="V311" s="10">
        <v>13.903</v>
      </c>
      <c r="W311" s="21"/>
    </row>
    <row r="312" spans="1:23" x14ac:dyDescent="0.2">
      <c r="A312" s="20" t="s">
        <v>27</v>
      </c>
      <c r="B312" s="16">
        <v>4.16</v>
      </c>
      <c r="D312">
        <v>9.6929999999999996</v>
      </c>
      <c r="F312" s="10">
        <v>13.853999999999999</v>
      </c>
      <c r="H312">
        <v>18.013999999999999</v>
      </c>
      <c r="J312">
        <v>20.800999999999998</v>
      </c>
      <c r="K312" s="21"/>
      <c r="N312" s="27">
        <v>4.16</v>
      </c>
      <c r="O312" s="28">
        <v>4.16</v>
      </c>
      <c r="R312" s="22">
        <v>13.853999999999999</v>
      </c>
      <c r="T312" s="10">
        <v>13.853999999999999</v>
      </c>
      <c r="V312" s="10">
        <v>13.853999999999999</v>
      </c>
      <c r="W312" s="21"/>
    </row>
    <row r="313" spans="1:23" x14ac:dyDescent="0.2">
      <c r="A313" s="20" t="s">
        <v>28</v>
      </c>
      <c r="B313" s="16">
        <v>5.3070000000000004</v>
      </c>
      <c r="D313">
        <v>12.366</v>
      </c>
      <c r="F313" s="10">
        <v>17.673999999999999</v>
      </c>
      <c r="H313">
        <v>22.981000000000002</v>
      </c>
      <c r="J313">
        <v>26.536999999999999</v>
      </c>
      <c r="K313" s="21"/>
      <c r="N313" s="27">
        <v>5.3070000000000004</v>
      </c>
      <c r="O313" s="28">
        <v>5.3070000000000004</v>
      </c>
      <c r="R313" s="22">
        <v>17.673999999999999</v>
      </c>
      <c r="T313" s="10">
        <v>14.021000000000001</v>
      </c>
      <c r="V313" s="10">
        <v>15.192</v>
      </c>
      <c r="W313" s="21"/>
    </row>
    <row r="314" spans="1:23" x14ac:dyDescent="0.2">
      <c r="A314" s="20" t="s">
        <v>29</v>
      </c>
      <c r="B314" s="16">
        <v>45.462000000000003</v>
      </c>
      <c r="D314">
        <v>105.92700000000001</v>
      </c>
      <c r="F314" s="10">
        <v>151.38900000000001</v>
      </c>
      <c r="H314">
        <v>196.851</v>
      </c>
      <c r="J314">
        <v>227.31</v>
      </c>
      <c r="K314" s="21"/>
      <c r="N314" s="27">
        <v>45.462000000000003</v>
      </c>
      <c r="O314" s="28">
        <v>45.462000000000003</v>
      </c>
      <c r="R314" s="22">
        <v>151.38900000000001</v>
      </c>
      <c r="T314" s="10">
        <v>32.572000000000003</v>
      </c>
      <c r="V314" s="10">
        <v>52.302999999999997</v>
      </c>
      <c r="W314" s="21"/>
    </row>
    <row r="315" spans="1:23" x14ac:dyDescent="0.2">
      <c r="A315" s="20" t="s">
        <v>30</v>
      </c>
      <c r="B315" s="16">
        <v>152.77600000000001</v>
      </c>
      <c r="D315">
        <v>355.96899999999999</v>
      </c>
      <c r="F315" s="10">
        <v>508.74599999999998</v>
      </c>
      <c r="H315">
        <v>661.52200000000005</v>
      </c>
      <c r="J315">
        <v>763.88300000000004</v>
      </c>
      <c r="K315" s="21"/>
      <c r="N315" s="27">
        <v>152.77600000000001</v>
      </c>
      <c r="O315" s="28">
        <v>152.77600000000001</v>
      </c>
      <c r="R315" s="22">
        <v>508.74599999999998</v>
      </c>
      <c r="T315" s="10">
        <v>419.76100000000002</v>
      </c>
      <c r="V315" s="10">
        <v>388.21699999999998</v>
      </c>
      <c r="W315" s="21"/>
    </row>
    <row r="316" spans="1:23" x14ac:dyDescent="0.2">
      <c r="A316" s="20" t="s">
        <v>31</v>
      </c>
      <c r="B316" s="16">
        <v>113.28100000000001</v>
      </c>
      <c r="D316">
        <v>263.94600000000003</v>
      </c>
      <c r="F316" s="10">
        <v>377.22699999999998</v>
      </c>
      <c r="H316">
        <v>490.50900000000001</v>
      </c>
      <c r="J316">
        <v>566.40800000000002</v>
      </c>
      <c r="K316" s="21"/>
      <c r="N316" s="27">
        <v>113.28100000000001</v>
      </c>
      <c r="O316" s="28">
        <v>113.28100000000001</v>
      </c>
      <c r="R316" s="22">
        <v>377.22699999999998</v>
      </c>
      <c r="T316" s="10">
        <v>587.87900000000002</v>
      </c>
      <c r="V316" s="10">
        <v>645.30200000000002</v>
      </c>
      <c r="W316" s="21"/>
    </row>
    <row r="317" spans="1:23" x14ac:dyDescent="0.2">
      <c r="A317" s="20" t="s">
        <v>32</v>
      </c>
      <c r="B317" s="16">
        <v>41.478000000000002</v>
      </c>
      <c r="D317">
        <v>96.644000000000005</v>
      </c>
      <c r="F317" s="10">
        <v>138.12200000000001</v>
      </c>
      <c r="H317">
        <v>179.6</v>
      </c>
      <c r="J317">
        <v>207.39</v>
      </c>
      <c r="K317" s="21"/>
      <c r="N317" s="27">
        <v>41.478000000000002</v>
      </c>
      <c r="O317" s="28">
        <v>41.478000000000002</v>
      </c>
      <c r="R317" s="22">
        <v>138.12200000000001</v>
      </c>
      <c r="T317" s="10">
        <v>402.976</v>
      </c>
      <c r="V317" s="10">
        <v>513.04999999999995</v>
      </c>
      <c r="W317" s="21"/>
    </row>
    <row r="318" spans="1:23" x14ac:dyDescent="0.2">
      <c r="A318" s="20" t="s">
        <v>33</v>
      </c>
      <c r="B318" s="16">
        <v>53.204999999999998</v>
      </c>
      <c r="D318">
        <v>123.968</v>
      </c>
      <c r="F318" s="10">
        <v>177.17400000000001</v>
      </c>
      <c r="H318">
        <v>230.37899999999999</v>
      </c>
      <c r="J318">
        <v>266.02699999999999</v>
      </c>
      <c r="K318" s="21"/>
      <c r="N318" s="27">
        <v>53.204999999999998</v>
      </c>
      <c r="O318" s="28">
        <v>53.204999999999998</v>
      </c>
      <c r="R318" s="22">
        <v>177.17400000000001</v>
      </c>
      <c r="T318" s="10">
        <v>329.846</v>
      </c>
      <c r="V318" s="10">
        <v>269.733</v>
      </c>
      <c r="W318" s="21"/>
    </row>
    <row r="319" spans="1:23" x14ac:dyDescent="0.2">
      <c r="A319" s="20" t="s">
        <v>34</v>
      </c>
      <c r="B319" s="16">
        <v>55.390999999999998</v>
      </c>
      <c r="D319">
        <v>129.06200000000001</v>
      </c>
      <c r="F319" s="10">
        <v>184.453</v>
      </c>
      <c r="H319">
        <v>239.84399999999999</v>
      </c>
      <c r="J319">
        <v>276.95600000000002</v>
      </c>
      <c r="K319" s="21"/>
      <c r="N319" s="27">
        <v>55.390999999999998</v>
      </c>
      <c r="O319" s="28">
        <v>55.390999999999998</v>
      </c>
      <c r="R319" s="22">
        <v>184.453</v>
      </c>
      <c r="T319" s="10">
        <v>186.851</v>
      </c>
      <c r="V319" s="10">
        <v>164.791</v>
      </c>
      <c r="W319" s="21"/>
    </row>
    <row r="320" spans="1:23" x14ac:dyDescent="0.2">
      <c r="A320" s="20" t="s">
        <v>35</v>
      </c>
      <c r="B320" s="16">
        <v>36.884</v>
      </c>
      <c r="D320">
        <v>85.94</v>
      </c>
      <c r="F320" s="10">
        <v>122.825</v>
      </c>
      <c r="H320">
        <v>159.709</v>
      </c>
      <c r="J320">
        <v>184.42099999999999</v>
      </c>
      <c r="K320" s="21"/>
      <c r="N320" s="27">
        <v>36.884</v>
      </c>
      <c r="O320" s="28">
        <v>36.884</v>
      </c>
      <c r="R320" s="22">
        <v>122.825</v>
      </c>
      <c r="T320" s="10">
        <v>92.251000000000005</v>
      </c>
      <c r="V320" s="10">
        <v>127.723</v>
      </c>
      <c r="W320" s="21"/>
    </row>
    <row r="321" spans="1:23" x14ac:dyDescent="0.2">
      <c r="A321" s="20" t="s">
        <v>36</v>
      </c>
      <c r="B321" s="16">
        <v>7.1109999999999998</v>
      </c>
      <c r="D321">
        <v>16.568000000000001</v>
      </c>
      <c r="F321" s="10">
        <v>23.678999999999998</v>
      </c>
      <c r="H321">
        <v>30.79</v>
      </c>
      <c r="J321">
        <v>35.554000000000002</v>
      </c>
      <c r="K321" s="21"/>
      <c r="N321" s="27">
        <v>7.1109999999999998</v>
      </c>
      <c r="O321" s="28">
        <v>7.1109999999999998</v>
      </c>
      <c r="R321" s="22">
        <v>23.678999999999998</v>
      </c>
      <c r="T321" s="10">
        <v>17.039000000000001</v>
      </c>
      <c r="V321" s="10">
        <v>15.87</v>
      </c>
      <c r="W321" s="21"/>
    </row>
    <row r="322" spans="1:23" x14ac:dyDescent="0.2">
      <c r="A322" s="20" t="s">
        <v>37</v>
      </c>
      <c r="B322" s="16">
        <v>4.1840000000000002</v>
      </c>
      <c r="D322">
        <v>9.7479999999999993</v>
      </c>
      <c r="F322" s="10">
        <v>13.930999999999999</v>
      </c>
      <c r="H322">
        <v>18.114999999999998</v>
      </c>
      <c r="J322">
        <v>20.917999999999999</v>
      </c>
      <c r="K322" s="21"/>
      <c r="N322" s="27">
        <v>4.1840000000000002</v>
      </c>
      <c r="O322" s="28">
        <v>4.1840000000000002</v>
      </c>
      <c r="R322" s="22">
        <v>13.930999999999999</v>
      </c>
      <c r="T322" s="10">
        <v>13.968</v>
      </c>
      <c r="V322" s="10">
        <v>13.903</v>
      </c>
      <c r="W322" s="21"/>
    </row>
    <row r="323" spans="1:23" x14ac:dyDescent="0.2">
      <c r="A323" s="20" t="s">
        <v>26</v>
      </c>
      <c r="B323" s="16">
        <v>4.1749999999999998</v>
      </c>
      <c r="D323">
        <v>9.7279999999999998</v>
      </c>
      <c r="F323" s="10">
        <v>13.903</v>
      </c>
      <c r="H323">
        <v>18.079000000000001</v>
      </c>
      <c r="J323">
        <v>20.876000000000001</v>
      </c>
      <c r="K323" s="21"/>
      <c r="N323" s="27">
        <v>4.1749999999999998</v>
      </c>
      <c r="O323" s="28">
        <v>4.1749999999999998</v>
      </c>
      <c r="R323" s="22">
        <v>13.903</v>
      </c>
      <c r="T323" s="10">
        <v>13.903</v>
      </c>
      <c r="V323" s="10">
        <v>13.903</v>
      </c>
      <c r="W323" s="21"/>
    </row>
    <row r="324" spans="1:23" x14ac:dyDescent="0.2">
      <c r="A324" s="20" t="s">
        <v>27</v>
      </c>
      <c r="B324" s="16">
        <v>4.16</v>
      </c>
      <c r="D324">
        <v>9.6929999999999996</v>
      </c>
      <c r="F324" s="10">
        <v>13.853999999999999</v>
      </c>
      <c r="H324">
        <v>18.013999999999999</v>
      </c>
      <c r="J324">
        <v>20.800999999999998</v>
      </c>
      <c r="K324" s="21"/>
      <c r="N324" s="27">
        <v>4.16</v>
      </c>
      <c r="O324" s="28">
        <v>4.16</v>
      </c>
      <c r="R324" s="22">
        <v>13.853999999999999</v>
      </c>
      <c r="T324" s="10">
        <v>13.853999999999999</v>
      </c>
      <c r="V324" s="10">
        <v>13.853999999999999</v>
      </c>
      <c r="W324" s="21"/>
    </row>
    <row r="325" spans="1:23" x14ac:dyDescent="0.2">
      <c r="A325" s="20" t="s">
        <v>28</v>
      </c>
      <c r="B325" s="16">
        <v>5.1059999999999999</v>
      </c>
      <c r="D325">
        <v>11.897</v>
      </c>
      <c r="F325" s="10">
        <v>17.003</v>
      </c>
      <c r="H325">
        <v>22.109000000000002</v>
      </c>
      <c r="J325">
        <v>25.53</v>
      </c>
      <c r="K325" s="21"/>
      <c r="N325" s="27">
        <v>5.1059999999999999</v>
      </c>
      <c r="O325" s="28">
        <v>5.1059999999999999</v>
      </c>
      <c r="R325" s="22">
        <v>17.003</v>
      </c>
      <c r="T325" s="10">
        <v>13.903</v>
      </c>
      <c r="V325" s="10">
        <v>13.997999999999999</v>
      </c>
      <c r="W325" s="21"/>
    </row>
    <row r="326" spans="1:23" x14ac:dyDescent="0.2">
      <c r="A326" s="20" t="s">
        <v>29</v>
      </c>
      <c r="B326" s="16">
        <v>38.045000000000002</v>
      </c>
      <c r="D326">
        <v>88.644999999999996</v>
      </c>
      <c r="F326" s="10">
        <v>126.691</v>
      </c>
      <c r="H326">
        <v>164.73599999999999</v>
      </c>
      <c r="J326">
        <v>190.226</v>
      </c>
      <c r="K326" s="21"/>
      <c r="N326" s="27">
        <v>38.045000000000002</v>
      </c>
      <c r="O326" s="28">
        <v>38.045000000000002</v>
      </c>
      <c r="R326" s="22">
        <v>126.691</v>
      </c>
      <c r="T326" s="10">
        <v>29.684000000000001</v>
      </c>
      <c r="V326" s="10">
        <v>31.914999999999999</v>
      </c>
      <c r="W326" s="21"/>
    </row>
    <row r="327" spans="1:23" x14ac:dyDescent="0.2">
      <c r="A327" s="20" t="s">
        <v>30</v>
      </c>
      <c r="B327" s="16">
        <v>134.39500000000001</v>
      </c>
      <c r="D327">
        <v>313.14100000000002</v>
      </c>
      <c r="F327" s="10">
        <v>447.536</v>
      </c>
      <c r="H327">
        <v>581.93100000000004</v>
      </c>
      <c r="J327">
        <v>671.976</v>
      </c>
      <c r="K327" s="21"/>
      <c r="N327" s="27">
        <v>134.39500000000001</v>
      </c>
      <c r="O327" s="28">
        <v>134.39500000000001</v>
      </c>
      <c r="R327" s="22">
        <v>447.536</v>
      </c>
      <c r="T327" s="10">
        <v>350.32499999999999</v>
      </c>
      <c r="V327" s="10">
        <v>302.07100000000003</v>
      </c>
      <c r="W327" s="21"/>
    </row>
    <row r="328" spans="1:23" x14ac:dyDescent="0.2">
      <c r="A328" s="20" t="s">
        <v>31</v>
      </c>
      <c r="B328" s="16">
        <v>94.475999999999999</v>
      </c>
      <c r="D328">
        <v>220.12899999999999</v>
      </c>
      <c r="F328" s="10">
        <v>314.60500000000002</v>
      </c>
      <c r="H328">
        <v>409.08199999999999</v>
      </c>
      <c r="J328">
        <v>472.38099999999997</v>
      </c>
      <c r="K328" s="21"/>
      <c r="N328" s="27">
        <v>94.475999999999999</v>
      </c>
      <c r="O328" s="28">
        <v>94.475999999999999</v>
      </c>
      <c r="R328" s="22">
        <v>314.60500000000002</v>
      </c>
      <c r="T328" s="10">
        <v>473.08600000000001</v>
      </c>
      <c r="V328" s="10">
        <v>613.55200000000002</v>
      </c>
      <c r="W328" s="21"/>
    </row>
    <row r="329" spans="1:23" x14ac:dyDescent="0.2">
      <c r="A329" s="20" t="s">
        <v>32</v>
      </c>
      <c r="B329" s="16">
        <v>42.457999999999998</v>
      </c>
      <c r="D329">
        <v>98.927000000000007</v>
      </c>
      <c r="F329" s="10">
        <v>141.38499999999999</v>
      </c>
      <c r="H329">
        <v>183.84299999999999</v>
      </c>
      <c r="J329">
        <v>212.28899999999999</v>
      </c>
      <c r="K329" s="21"/>
      <c r="N329" s="27">
        <v>42.457999999999998</v>
      </c>
      <c r="O329" s="28">
        <v>42.457999999999998</v>
      </c>
      <c r="R329" s="22">
        <v>141.38499999999999</v>
      </c>
      <c r="T329" s="10">
        <v>412.32799999999997</v>
      </c>
      <c r="V329" s="10">
        <v>482.07299999999998</v>
      </c>
      <c r="W329" s="21"/>
    </row>
    <row r="330" spans="1:23" x14ac:dyDescent="0.2">
      <c r="A330" s="20" t="s">
        <v>33</v>
      </c>
      <c r="B330" s="16">
        <v>46.579000000000001</v>
      </c>
      <c r="D330">
        <v>108.52800000000001</v>
      </c>
      <c r="F330" s="10">
        <v>155.107</v>
      </c>
      <c r="H330">
        <v>201.685</v>
      </c>
      <c r="J330">
        <v>232.893</v>
      </c>
      <c r="K330" s="21"/>
      <c r="N330" s="27">
        <v>46.579000000000001</v>
      </c>
      <c r="O330" s="28">
        <v>46.579000000000001</v>
      </c>
      <c r="R330" s="22">
        <v>155.107</v>
      </c>
      <c r="T330" s="10">
        <v>199.46600000000001</v>
      </c>
      <c r="V330" s="10">
        <v>258.5</v>
      </c>
      <c r="W330" s="21"/>
    </row>
    <row r="331" spans="1:23" x14ac:dyDescent="0.2">
      <c r="A331" s="20" t="s">
        <v>34</v>
      </c>
      <c r="B331" s="16">
        <v>44.048000000000002</v>
      </c>
      <c r="D331">
        <v>102.63200000000001</v>
      </c>
      <c r="F331" s="10">
        <v>146.68</v>
      </c>
      <c r="H331">
        <v>190.72800000000001</v>
      </c>
      <c r="J331">
        <v>220.24</v>
      </c>
      <c r="K331" s="21"/>
      <c r="N331" s="27">
        <v>44.048000000000002</v>
      </c>
      <c r="O331" s="28">
        <v>44.048000000000002</v>
      </c>
      <c r="R331" s="22">
        <v>146.68</v>
      </c>
      <c r="T331" s="10">
        <v>221.15700000000001</v>
      </c>
      <c r="V331" s="10">
        <v>165.13399999999999</v>
      </c>
      <c r="W331" s="21"/>
    </row>
    <row r="332" spans="1:23" x14ac:dyDescent="0.2">
      <c r="A332" s="20" t="s">
        <v>35</v>
      </c>
      <c r="B332" s="16">
        <v>33.316000000000003</v>
      </c>
      <c r="D332">
        <v>77.626999999999995</v>
      </c>
      <c r="F332" s="10">
        <v>110.943</v>
      </c>
      <c r="H332">
        <v>144.26</v>
      </c>
      <c r="J332">
        <v>166.58199999999999</v>
      </c>
      <c r="K332" s="21"/>
      <c r="N332" s="27">
        <v>33.316000000000003</v>
      </c>
      <c r="O332" s="28">
        <v>33.316000000000003</v>
      </c>
      <c r="R332" s="22">
        <v>110.943</v>
      </c>
      <c r="T332" s="10">
        <v>73.938999999999993</v>
      </c>
      <c r="V332" s="10">
        <v>60.887</v>
      </c>
      <c r="W332" s="21"/>
    </row>
    <row r="333" spans="1:23" x14ac:dyDescent="0.2">
      <c r="A333" s="20" t="s">
        <v>36</v>
      </c>
      <c r="B333" s="16">
        <v>4.1710000000000003</v>
      </c>
      <c r="D333">
        <v>9.7170000000000005</v>
      </c>
      <c r="F333" s="10">
        <v>13.888</v>
      </c>
      <c r="H333">
        <v>18.059000000000001</v>
      </c>
      <c r="J333">
        <v>20.853000000000002</v>
      </c>
      <c r="K333" s="21"/>
      <c r="N333" s="27">
        <v>4.1710000000000003</v>
      </c>
      <c r="O333" s="28">
        <v>4.1710000000000003</v>
      </c>
      <c r="R333" s="22">
        <v>13.888</v>
      </c>
      <c r="T333" s="10">
        <v>19.154</v>
      </c>
      <c r="V333" s="10">
        <v>15.467000000000001</v>
      </c>
      <c r="W333" s="21"/>
    </row>
    <row r="334" spans="1:23" x14ac:dyDescent="0.2">
      <c r="A334" s="20" t="s">
        <v>37</v>
      </c>
      <c r="B334" s="16">
        <v>4.1749999999999998</v>
      </c>
      <c r="D334">
        <v>9.7279999999999998</v>
      </c>
      <c r="F334" s="10">
        <v>13.903</v>
      </c>
      <c r="H334">
        <v>18.079000000000001</v>
      </c>
      <c r="J334">
        <v>20.876000000000001</v>
      </c>
      <c r="K334" s="21"/>
      <c r="N334" s="27">
        <v>4.1749999999999998</v>
      </c>
      <c r="O334" s="28">
        <v>4.1749999999999998</v>
      </c>
      <c r="R334" s="22">
        <v>13.903</v>
      </c>
      <c r="T334" s="10">
        <v>13.903</v>
      </c>
      <c r="V334" s="10">
        <v>13.903</v>
      </c>
      <c r="W334" s="21"/>
    </row>
    <row r="335" spans="1:23" x14ac:dyDescent="0.2">
      <c r="A335" s="20" t="s">
        <v>26</v>
      </c>
      <c r="B335" s="16">
        <v>4.1749999999999998</v>
      </c>
      <c r="D335">
        <v>9.7279999999999998</v>
      </c>
      <c r="F335" s="10">
        <v>13.903</v>
      </c>
      <c r="H335">
        <v>18.079000000000001</v>
      </c>
      <c r="J335">
        <v>20.876000000000001</v>
      </c>
      <c r="K335" s="21"/>
      <c r="N335" s="27">
        <v>4.1749999999999998</v>
      </c>
      <c r="O335" s="28">
        <v>4.1749999999999998</v>
      </c>
      <c r="R335" s="22">
        <v>13.903</v>
      </c>
      <c r="T335" s="10">
        <v>13.903</v>
      </c>
      <c r="V335" s="10">
        <v>13.903</v>
      </c>
      <c r="W335" s="21"/>
    </row>
    <row r="336" spans="1:23" x14ac:dyDescent="0.2">
      <c r="A336" s="20" t="s">
        <v>27</v>
      </c>
      <c r="B336" s="16">
        <v>4.18</v>
      </c>
      <c r="D336">
        <v>9.7390000000000008</v>
      </c>
      <c r="F336" s="10">
        <v>13.917999999999999</v>
      </c>
      <c r="H336">
        <v>18.097999999999999</v>
      </c>
      <c r="J336">
        <v>20.899000000000001</v>
      </c>
      <c r="K336" s="21"/>
      <c r="N336" s="27">
        <v>4.18</v>
      </c>
      <c r="O336" s="28">
        <v>4.18</v>
      </c>
      <c r="R336" s="22">
        <v>13.917999999999999</v>
      </c>
      <c r="T336" s="10">
        <v>13.853999999999999</v>
      </c>
      <c r="V336" s="10">
        <v>14.66</v>
      </c>
      <c r="W336" s="21"/>
    </row>
    <row r="337" spans="1:23" x14ac:dyDescent="0.2">
      <c r="A337" s="20" t="s">
        <v>28</v>
      </c>
      <c r="B337" s="16">
        <v>9.0050000000000008</v>
      </c>
      <c r="D337">
        <v>20.983000000000001</v>
      </c>
      <c r="F337" s="10">
        <v>29.988</v>
      </c>
      <c r="H337">
        <v>38.994</v>
      </c>
      <c r="J337">
        <v>45.027000000000001</v>
      </c>
      <c r="K337" s="21"/>
      <c r="N337" s="27">
        <v>9.0050000000000008</v>
      </c>
      <c r="O337" s="28">
        <v>9.0050000000000008</v>
      </c>
      <c r="R337" s="22">
        <v>29.988</v>
      </c>
      <c r="T337" s="10">
        <v>14.057</v>
      </c>
      <c r="V337" s="10">
        <v>24.736000000000001</v>
      </c>
      <c r="W337" s="21"/>
    </row>
    <row r="338" spans="1:23" x14ac:dyDescent="0.2">
      <c r="A338" s="20" t="s">
        <v>29</v>
      </c>
      <c r="B338" s="16">
        <v>83.058000000000007</v>
      </c>
      <c r="D338">
        <v>193.52600000000001</v>
      </c>
      <c r="F338" s="10">
        <v>276.584</v>
      </c>
      <c r="H338">
        <v>359.64299999999997</v>
      </c>
      <c r="J338">
        <v>415.29199999999997</v>
      </c>
      <c r="K338" s="21"/>
      <c r="N338" s="27">
        <v>83.058000000000007</v>
      </c>
      <c r="O338" s="28">
        <v>83.058000000000007</v>
      </c>
      <c r="R338" s="22">
        <v>276.584</v>
      </c>
      <c r="T338" s="10">
        <v>62.84</v>
      </c>
      <c r="V338" s="10">
        <v>144.97800000000001</v>
      </c>
      <c r="W338" s="21"/>
    </row>
    <row r="339" spans="1:23" x14ac:dyDescent="0.2">
      <c r="A339" s="20" t="s">
        <v>30</v>
      </c>
      <c r="B339" s="16">
        <v>116.497</v>
      </c>
      <c r="D339">
        <v>271.43799999999999</v>
      </c>
      <c r="F339" s="10">
        <v>387.93599999999998</v>
      </c>
      <c r="H339">
        <v>504.43299999999999</v>
      </c>
      <c r="J339">
        <v>582.48599999999999</v>
      </c>
      <c r="K339" s="21"/>
      <c r="N339" s="27">
        <v>116.497</v>
      </c>
      <c r="O339" s="28">
        <v>116.497</v>
      </c>
      <c r="R339" s="22">
        <v>387.93599999999998</v>
      </c>
      <c r="T339" s="10">
        <v>505.01</v>
      </c>
      <c r="V339" s="10">
        <v>510.16800000000001</v>
      </c>
      <c r="W339" s="21"/>
    </row>
    <row r="340" spans="1:23" x14ac:dyDescent="0.2">
      <c r="A340" s="20" t="s">
        <v>31</v>
      </c>
      <c r="B340" s="16">
        <v>57.83</v>
      </c>
      <c r="D340">
        <v>134.745</v>
      </c>
      <c r="F340" s="10">
        <v>192.57499999999999</v>
      </c>
      <c r="H340">
        <v>250.405</v>
      </c>
      <c r="J340">
        <v>289.15199999999999</v>
      </c>
      <c r="K340" s="21"/>
      <c r="N340" s="27">
        <v>57.83</v>
      </c>
      <c r="O340" s="28">
        <v>57.83</v>
      </c>
      <c r="R340" s="22">
        <v>192.57499999999999</v>
      </c>
      <c r="T340" s="10">
        <v>450.13799999999998</v>
      </c>
      <c r="V340" s="10">
        <v>526.43499999999995</v>
      </c>
      <c r="W340" s="21"/>
    </row>
    <row r="341" spans="1:23" x14ac:dyDescent="0.2">
      <c r="A341" s="20" t="s">
        <v>32</v>
      </c>
      <c r="B341" s="16">
        <v>39.816000000000003</v>
      </c>
      <c r="D341">
        <v>92.77</v>
      </c>
      <c r="F341" s="10">
        <v>132.58600000000001</v>
      </c>
      <c r="H341">
        <v>172.40199999999999</v>
      </c>
      <c r="J341">
        <v>199.078</v>
      </c>
      <c r="K341" s="21"/>
      <c r="N341" s="27">
        <v>39.816000000000003</v>
      </c>
      <c r="O341" s="28">
        <v>39.816000000000003</v>
      </c>
      <c r="R341" s="22">
        <v>132.58600000000001</v>
      </c>
      <c r="T341" s="10">
        <v>229.90600000000001</v>
      </c>
      <c r="V341" s="10">
        <v>207.249</v>
      </c>
      <c r="W341" s="21"/>
    </row>
    <row r="342" spans="1:23" x14ac:dyDescent="0.2">
      <c r="A342" s="20" t="s">
        <v>33</v>
      </c>
      <c r="B342" s="16">
        <v>41.685000000000002</v>
      </c>
      <c r="D342">
        <v>97.126999999999995</v>
      </c>
      <c r="F342" s="10">
        <v>138.81200000000001</v>
      </c>
      <c r="H342">
        <v>180.49799999999999</v>
      </c>
      <c r="J342">
        <v>208.42699999999999</v>
      </c>
      <c r="K342" s="21"/>
      <c r="N342" s="27">
        <v>41.685000000000002</v>
      </c>
      <c r="O342" s="28">
        <v>41.685000000000002</v>
      </c>
      <c r="R342" s="22">
        <v>138.81200000000001</v>
      </c>
      <c r="T342" s="10">
        <v>255.51</v>
      </c>
      <c r="V342" s="10">
        <v>186.214</v>
      </c>
      <c r="W342" s="21"/>
    </row>
    <row r="343" spans="1:23" x14ac:dyDescent="0.2">
      <c r="A343" s="20" t="s">
        <v>34</v>
      </c>
      <c r="B343" s="16">
        <v>50.701000000000001</v>
      </c>
      <c r="D343">
        <v>118.134</v>
      </c>
      <c r="F343" s="10">
        <v>168.83500000000001</v>
      </c>
      <c r="H343">
        <v>219.536</v>
      </c>
      <c r="J343">
        <v>253.506</v>
      </c>
      <c r="K343" s="21"/>
      <c r="N343" s="27">
        <v>50.701000000000001</v>
      </c>
      <c r="O343" s="28">
        <v>50.701000000000001</v>
      </c>
      <c r="R343" s="22">
        <v>168.83500000000001</v>
      </c>
      <c r="T343" s="10">
        <v>192.79</v>
      </c>
      <c r="V343" s="10">
        <v>181.71199999999999</v>
      </c>
      <c r="W343" s="21"/>
    </row>
    <row r="344" spans="1:23" x14ac:dyDescent="0.2">
      <c r="A344" s="20" t="s">
        <v>35</v>
      </c>
      <c r="B344" s="16">
        <v>44.283999999999999</v>
      </c>
      <c r="D344">
        <v>103.181</v>
      </c>
      <c r="F344" s="10">
        <v>147.464</v>
      </c>
      <c r="H344">
        <v>191.74799999999999</v>
      </c>
      <c r="J344">
        <v>221.41800000000001</v>
      </c>
      <c r="K344" s="21"/>
      <c r="N344" s="27">
        <v>44.283999999999999</v>
      </c>
      <c r="O344" s="28">
        <v>44.283999999999999</v>
      </c>
      <c r="R344" s="22">
        <v>147.464</v>
      </c>
      <c r="T344" s="10">
        <v>120.43300000000001</v>
      </c>
      <c r="V344" s="10">
        <v>133.44</v>
      </c>
      <c r="W344" s="21"/>
    </row>
    <row r="345" spans="1:23" x14ac:dyDescent="0.2">
      <c r="A345" s="20" t="s">
        <v>36</v>
      </c>
      <c r="B345" s="16">
        <v>5.9379999999999997</v>
      </c>
      <c r="D345">
        <v>13.835000000000001</v>
      </c>
      <c r="F345" s="10">
        <v>19.773</v>
      </c>
      <c r="H345">
        <v>25.710999999999999</v>
      </c>
      <c r="J345">
        <v>29.69</v>
      </c>
      <c r="K345" s="21"/>
      <c r="N345" s="27">
        <v>5.9379999999999997</v>
      </c>
      <c r="O345" s="28">
        <v>5.9379999999999997</v>
      </c>
      <c r="R345" s="22">
        <v>19.773</v>
      </c>
      <c r="T345" s="10">
        <v>18.835999999999999</v>
      </c>
      <c r="V345" s="10">
        <v>31.677</v>
      </c>
      <c r="W345" s="21"/>
    </row>
    <row r="346" spans="1:23" x14ac:dyDescent="0.2">
      <c r="A346" s="20" t="s">
        <v>37</v>
      </c>
      <c r="B346" s="16">
        <v>4.18</v>
      </c>
      <c r="D346">
        <v>9.7390000000000008</v>
      </c>
      <c r="F346" s="10">
        <v>13.919</v>
      </c>
      <c r="H346">
        <v>18.099</v>
      </c>
      <c r="J346">
        <v>20.899000000000001</v>
      </c>
      <c r="K346" s="21"/>
      <c r="N346" s="27">
        <v>4.18</v>
      </c>
      <c r="O346" s="28">
        <v>4.18</v>
      </c>
      <c r="R346" s="22">
        <v>13.919</v>
      </c>
      <c r="T346" s="10">
        <v>14.025</v>
      </c>
      <c r="V346" s="10">
        <v>14.021000000000001</v>
      </c>
      <c r="W346" s="21"/>
    </row>
    <row r="347" spans="1:23" x14ac:dyDescent="0.2">
      <c r="A347" s="20" t="s">
        <v>26</v>
      </c>
      <c r="B347" s="16">
        <v>4.1749999999999998</v>
      </c>
      <c r="D347">
        <v>9.7279999999999998</v>
      </c>
      <c r="F347" s="10">
        <v>13.903</v>
      </c>
      <c r="H347">
        <v>18.079000000000001</v>
      </c>
      <c r="J347">
        <v>20.876000000000001</v>
      </c>
      <c r="K347" s="21"/>
      <c r="N347" s="27">
        <v>4.1749999999999998</v>
      </c>
      <c r="O347" s="28">
        <v>4.1749999999999998</v>
      </c>
      <c r="R347" s="22">
        <v>13.903</v>
      </c>
      <c r="T347" s="10">
        <v>13.903</v>
      </c>
      <c r="V347" s="10">
        <v>13.903</v>
      </c>
      <c r="W347" s="21"/>
    </row>
    <row r="348" spans="1:23" x14ac:dyDescent="0.2">
      <c r="A348" s="20" t="s">
        <v>27</v>
      </c>
      <c r="B348" s="16">
        <v>4.16</v>
      </c>
      <c r="D348">
        <v>9.6929999999999996</v>
      </c>
      <c r="F348" s="10">
        <v>13.853999999999999</v>
      </c>
      <c r="H348">
        <v>18.013999999999999</v>
      </c>
      <c r="J348">
        <v>20.800999999999998</v>
      </c>
      <c r="K348" s="21"/>
      <c r="N348" s="27">
        <v>4.16</v>
      </c>
      <c r="O348" s="28">
        <v>4.16</v>
      </c>
      <c r="R348" s="22">
        <v>13.853999999999999</v>
      </c>
      <c r="T348" s="10">
        <v>13.853999999999999</v>
      </c>
      <c r="V348" s="10">
        <v>13.997999999999999</v>
      </c>
      <c r="W348" s="21"/>
    </row>
    <row r="349" spans="1:23" x14ac:dyDescent="0.2">
      <c r="A349" s="20" t="s">
        <v>28</v>
      </c>
      <c r="B349" s="16">
        <v>7.8070000000000004</v>
      </c>
      <c r="D349">
        <v>18.190000000000001</v>
      </c>
      <c r="F349" s="10">
        <v>25.995999999999999</v>
      </c>
      <c r="H349">
        <v>33.802999999999997</v>
      </c>
      <c r="J349">
        <v>39.033999999999999</v>
      </c>
      <c r="K349" s="21"/>
      <c r="N349" s="27">
        <v>7.8070000000000004</v>
      </c>
      <c r="O349" s="28">
        <v>7.8070000000000004</v>
      </c>
      <c r="R349" s="22">
        <v>25.995999999999999</v>
      </c>
      <c r="T349" s="10">
        <v>14.317</v>
      </c>
      <c r="V349" s="10">
        <v>23.062999999999999</v>
      </c>
      <c r="W349" s="21"/>
    </row>
    <row r="350" spans="1:23" x14ac:dyDescent="0.2">
      <c r="A350" s="20" t="s">
        <v>29</v>
      </c>
      <c r="B350" s="16">
        <v>73.828000000000003</v>
      </c>
      <c r="D350">
        <v>172.01900000000001</v>
      </c>
      <c r="F350" s="10">
        <v>245.84700000000001</v>
      </c>
      <c r="H350">
        <v>319.67500000000001</v>
      </c>
      <c r="J350">
        <v>369.14</v>
      </c>
      <c r="K350" s="21"/>
      <c r="N350" s="27">
        <v>73.828000000000003</v>
      </c>
      <c r="O350" s="28">
        <v>73.828000000000003</v>
      </c>
      <c r="R350" s="22">
        <v>245.84700000000001</v>
      </c>
      <c r="T350" s="10">
        <v>58.893000000000001</v>
      </c>
      <c r="V350" s="10">
        <v>131.73699999999999</v>
      </c>
      <c r="W350" s="21"/>
    </row>
    <row r="351" spans="1:23" x14ac:dyDescent="0.2">
      <c r="A351" s="20" t="s">
        <v>30</v>
      </c>
      <c r="B351" s="16">
        <v>134.822</v>
      </c>
      <c r="D351">
        <v>314.13600000000002</v>
      </c>
      <c r="F351" s="10">
        <v>448.95800000000003</v>
      </c>
      <c r="H351">
        <v>583.78</v>
      </c>
      <c r="J351">
        <v>674.11099999999999</v>
      </c>
      <c r="K351" s="21"/>
      <c r="N351" s="27">
        <v>134.822</v>
      </c>
      <c r="O351" s="28">
        <v>134.822</v>
      </c>
      <c r="R351" s="22">
        <v>448.95800000000003</v>
      </c>
      <c r="T351" s="10">
        <v>474.45299999999997</v>
      </c>
      <c r="V351" s="10">
        <v>512.34799999999996</v>
      </c>
      <c r="W351" s="21"/>
    </row>
    <row r="352" spans="1:23" x14ac:dyDescent="0.2">
      <c r="A352" s="20" t="s">
        <v>31</v>
      </c>
      <c r="B352" s="16">
        <v>60.875</v>
      </c>
      <c r="D352">
        <v>141.83799999999999</v>
      </c>
      <c r="F352" s="10">
        <v>202.71299999999999</v>
      </c>
      <c r="H352">
        <v>263.58800000000002</v>
      </c>
      <c r="J352">
        <v>304.37400000000002</v>
      </c>
      <c r="K352" s="21"/>
      <c r="N352" s="27">
        <v>60.875</v>
      </c>
      <c r="O352" s="28">
        <v>60.875</v>
      </c>
      <c r="R352" s="22">
        <v>202.71299999999999</v>
      </c>
      <c r="T352" s="10">
        <v>503.79</v>
      </c>
      <c r="V352" s="10">
        <v>532.61699999999996</v>
      </c>
      <c r="W352" s="21"/>
    </row>
    <row r="353" spans="1:23" x14ac:dyDescent="0.2">
      <c r="A353" s="20" t="s">
        <v>32</v>
      </c>
      <c r="B353" s="16">
        <v>45.414000000000001</v>
      </c>
      <c r="D353">
        <v>105.81399999999999</v>
      </c>
      <c r="F353" s="10">
        <v>151.227</v>
      </c>
      <c r="H353">
        <v>196.64099999999999</v>
      </c>
      <c r="J353">
        <v>227.06800000000001</v>
      </c>
      <c r="K353" s="21"/>
      <c r="N353" s="27">
        <v>45.414000000000001</v>
      </c>
      <c r="O353" s="28">
        <v>45.414000000000001</v>
      </c>
      <c r="R353" s="22">
        <v>151.227</v>
      </c>
      <c r="T353" s="10">
        <v>289.32400000000001</v>
      </c>
      <c r="V353" s="10">
        <v>273.15100000000001</v>
      </c>
      <c r="W353" s="21"/>
    </row>
    <row r="354" spans="1:23" x14ac:dyDescent="0.2">
      <c r="A354" s="20" t="s">
        <v>33</v>
      </c>
      <c r="B354" s="16">
        <v>44.918999999999997</v>
      </c>
      <c r="D354">
        <v>104.66</v>
      </c>
      <c r="F354" s="10">
        <v>149.57900000000001</v>
      </c>
      <c r="H354">
        <v>194.49799999999999</v>
      </c>
      <c r="J354">
        <v>224.59299999999999</v>
      </c>
      <c r="K354" s="21"/>
      <c r="N354" s="27">
        <v>44.918999999999997</v>
      </c>
      <c r="O354" s="28">
        <v>44.918999999999997</v>
      </c>
      <c r="R354" s="22">
        <v>149.57900000000001</v>
      </c>
      <c r="T354" s="10">
        <v>252.892</v>
      </c>
      <c r="V354" s="10">
        <v>192.071</v>
      </c>
      <c r="W354" s="21"/>
    </row>
    <row r="355" spans="1:23" x14ac:dyDescent="0.2">
      <c r="A355" s="20" t="s">
        <v>34</v>
      </c>
      <c r="B355" s="16">
        <v>52.615000000000002</v>
      </c>
      <c r="D355">
        <v>122.593</v>
      </c>
      <c r="F355" s="10">
        <v>175.208</v>
      </c>
      <c r="H355">
        <v>227.822</v>
      </c>
      <c r="J355">
        <v>263.07400000000001</v>
      </c>
      <c r="K355" s="21"/>
      <c r="N355" s="27">
        <v>52.615000000000002</v>
      </c>
      <c r="O355" s="28">
        <v>52.615000000000002</v>
      </c>
      <c r="R355" s="22">
        <v>175.208</v>
      </c>
      <c r="T355" s="10">
        <v>201.923</v>
      </c>
      <c r="V355" s="10">
        <v>212.846</v>
      </c>
      <c r="W355" s="21"/>
    </row>
    <row r="356" spans="1:23" x14ac:dyDescent="0.2">
      <c r="A356" s="20" t="s">
        <v>35</v>
      </c>
      <c r="B356" s="16">
        <v>42.247999999999998</v>
      </c>
      <c r="D356">
        <v>98.438999999999993</v>
      </c>
      <c r="F356" s="10">
        <v>140.68700000000001</v>
      </c>
      <c r="H356">
        <v>182.93600000000001</v>
      </c>
      <c r="J356">
        <v>211.24199999999999</v>
      </c>
      <c r="K356" s="21"/>
      <c r="N356" s="27">
        <v>42.247999999999998</v>
      </c>
      <c r="O356" s="28">
        <v>42.247999999999998</v>
      </c>
      <c r="R356" s="22">
        <v>140.68700000000001</v>
      </c>
      <c r="T356" s="10">
        <v>122.39100000000001</v>
      </c>
      <c r="V356" s="10">
        <v>169.208</v>
      </c>
      <c r="W356" s="21"/>
    </row>
    <row r="357" spans="1:23" x14ac:dyDescent="0.2">
      <c r="A357" s="20" t="s">
        <v>36</v>
      </c>
      <c r="B357" s="16">
        <v>6.6909999999999998</v>
      </c>
      <c r="D357">
        <v>15.589</v>
      </c>
      <c r="F357" s="10">
        <v>22.28</v>
      </c>
      <c r="H357">
        <v>28.971</v>
      </c>
      <c r="J357">
        <v>33.454000000000001</v>
      </c>
      <c r="K357" s="21"/>
      <c r="N357" s="27">
        <v>6.6909999999999998</v>
      </c>
      <c r="O357" s="28">
        <v>6.6909999999999998</v>
      </c>
      <c r="R357" s="22">
        <v>22.28</v>
      </c>
      <c r="T357" s="10">
        <v>19.521000000000001</v>
      </c>
      <c r="V357" s="10">
        <v>18.608000000000001</v>
      </c>
      <c r="W357" s="21"/>
    </row>
    <row r="358" spans="1:23" x14ac:dyDescent="0.2">
      <c r="A358" s="20" t="s">
        <v>37</v>
      </c>
      <c r="B358" s="16">
        <v>4.1879999999999997</v>
      </c>
      <c r="D358">
        <v>9.7590000000000003</v>
      </c>
      <c r="F358" s="10">
        <v>13.946999999999999</v>
      </c>
      <c r="H358">
        <v>18.135000000000002</v>
      </c>
      <c r="J358">
        <v>20.940999999999999</v>
      </c>
      <c r="K358" s="21"/>
      <c r="N358" s="27">
        <v>4.1879999999999997</v>
      </c>
      <c r="O358" s="28">
        <v>4.1879999999999997</v>
      </c>
      <c r="R358" s="22">
        <v>13.946999999999999</v>
      </c>
      <c r="T358" s="10">
        <v>13.967000000000001</v>
      </c>
      <c r="V358" s="10">
        <v>13.929</v>
      </c>
      <c r="W358" s="21"/>
    </row>
    <row r="359" spans="1:23" x14ac:dyDescent="0.2">
      <c r="A359" s="20" t="s">
        <v>26</v>
      </c>
      <c r="B359" s="16">
        <v>4.1749999999999998</v>
      </c>
      <c r="D359">
        <v>9.7279999999999998</v>
      </c>
      <c r="F359" s="10">
        <v>13.903</v>
      </c>
      <c r="H359">
        <v>18.079000000000001</v>
      </c>
      <c r="J359">
        <v>20.876000000000001</v>
      </c>
      <c r="K359" s="21"/>
      <c r="N359" s="27">
        <v>4.1749999999999998</v>
      </c>
      <c r="O359" s="28">
        <v>4.1749999999999998</v>
      </c>
      <c r="R359" s="22">
        <v>13.903</v>
      </c>
      <c r="T359" s="10">
        <v>13.903</v>
      </c>
      <c r="V359" s="10">
        <v>13.903</v>
      </c>
      <c r="W359" s="21"/>
    </row>
    <row r="360" spans="1:23" x14ac:dyDescent="0.2">
      <c r="A360" s="20" t="s">
        <v>27</v>
      </c>
      <c r="B360" s="16">
        <v>4.165</v>
      </c>
      <c r="D360">
        <v>9.7040000000000006</v>
      </c>
      <c r="F360" s="10">
        <v>13.869</v>
      </c>
      <c r="H360">
        <v>18.033999999999999</v>
      </c>
      <c r="J360">
        <v>20.824999999999999</v>
      </c>
      <c r="K360" s="21"/>
      <c r="N360" s="27">
        <v>4.165</v>
      </c>
      <c r="O360" s="28">
        <v>4.165</v>
      </c>
      <c r="R360" s="22">
        <v>13.869</v>
      </c>
      <c r="T360" s="10">
        <v>13.853999999999999</v>
      </c>
      <c r="V360" s="10">
        <v>14.651999999999999</v>
      </c>
      <c r="W360" s="21"/>
    </row>
    <row r="361" spans="1:23" x14ac:dyDescent="0.2">
      <c r="A361" s="20" t="s">
        <v>28</v>
      </c>
      <c r="B361" s="16">
        <v>7.7320000000000002</v>
      </c>
      <c r="D361">
        <v>18.015000000000001</v>
      </c>
      <c r="F361" s="10">
        <v>25.747</v>
      </c>
      <c r="H361">
        <v>33.478999999999999</v>
      </c>
      <c r="J361">
        <v>38.658999999999999</v>
      </c>
      <c r="K361" s="21"/>
      <c r="N361" s="27">
        <v>7.7320000000000002</v>
      </c>
      <c r="O361" s="28">
        <v>7.7320000000000002</v>
      </c>
      <c r="R361" s="22">
        <v>25.747</v>
      </c>
      <c r="T361" s="10">
        <v>13.961</v>
      </c>
      <c r="V361" s="10">
        <v>22.337</v>
      </c>
      <c r="W361" s="21"/>
    </row>
    <row r="362" spans="1:23" x14ac:dyDescent="0.2">
      <c r="A362" s="20" t="s">
        <v>29</v>
      </c>
      <c r="B362" s="16">
        <v>81.600999999999999</v>
      </c>
      <c r="D362">
        <v>190.131</v>
      </c>
      <c r="F362" s="10">
        <v>271.733</v>
      </c>
      <c r="H362">
        <v>353.334</v>
      </c>
      <c r="J362">
        <v>408.00700000000001</v>
      </c>
      <c r="K362" s="21"/>
      <c r="N362" s="27">
        <v>81.600999999999999</v>
      </c>
      <c r="O362" s="28">
        <v>81.600999999999999</v>
      </c>
      <c r="R362" s="22">
        <v>271.733</v>
      </c>
      <c r="T362" s="10">
        <v>74.22</v>
      </c>
      <c r="V362" s="10">
        <v>141.893</v>
      </c>
      <c r="W362" s="21"/>
    </row>
    <row r="363" spans="1:23" x14ac:dyDescent="0.2">
      <c r="A363" s="20" t="s">
        <v>30</v>
      </c>
      <c r="B363" s="16">
        <v>136.02600000000001</v>
      </c>
      <c r="D363">
        <v>316.94099999999997</v>
      </c>
      <c r="F363" s="10">
        <v>452.96800000000002</v>
      </c>
      <c r="H363">
        <v>588.99400000000003</v>
      </c>
      <c r="J363">
        <v>680.13099999999997</v>
      </c>
      <c r="K363" s="21"/>
      <c r="N363" s="27">
        <v>136.02600000000001</v>
      </c>
      <c r="O363" s="28">
        <v>136.02600000000001</v>
      </c>
      <c r="R363" s="22">
        <v>452.96800000000002</v>
      </c>
      <c r="T363" s="10">
        <v>537.41999999999996</v>
      </c>
      <c r="V363" s="10">
        <v>544.54999999999995</v>
      </c>
      <c r="W363" s="21"/>
    </row>
    <row r="364" spans="1:23" x14ac:dyDescent="0.2">
      <c r="A364" s="20" t="s">
        <v>31</v>
      </c>
      <c r="B364" s="16">
        <v>56.872999999999998</v>
      </c>
      <c r="D364">
        <v>132.51400000000001</v>
      </c>
      <c r="F364" s="10">
        <v>189.387</v>
      </c>
      <c r="H364">
        <v>246.261</v>
      </c>
      <c r="J364">
        <v>284.36500000000001</v>
      </c>
      <c r="K364" s="21"/>
      <c r="N364" s="27">
        <v>56.872999999999998</v>
      </c>
      <c r="O364" s="28">
        <v>56.872999999999998</v>
      </c>
      <c r="R364" s="22">
        <v>189.387</v>
      </c>
      <c r="T364" s="10">
        <v>512.85500000000002</v>
      </c>
      <c r="V364" s="10">
        <v>541.322</v>
      </c>
      <c r="W364" s="21"/>
    </row>
    <row r="365" spans="1:23" x14ac:dyDescent="0.2">
      <c r="A365" s="20" t="s">
        <v>32</v>
      </c>
      <c r="B365" s="16">
        <v>48.018000000000001</v>
      </c>
      <c r="D365">
        <v>111.883</v>
      </c>
      <c r="F365" s="10">
        <v>159.90100000000001</v>
      </c>
      <c r="H365">
        <v>207.92</v>
      </c>
      <c r="J365">
        <v>240.09200000000001</v>
      </c>
      <c r="K365" s="21"/>
      <c r="N365" s="27">
        <v>48.018000000000001</v>
      </c>
      <c r="O365" s="28">
        <v>48.018000000000001</v>
      </c>
      <c r="R365" s="22">
        <v>159.90100000000001</v>
      </c>
      <c r="T365" s="10">
        <v>276.952</v>
      </c>
      <c r="V365" s="10">
        <v>255.012</v>
      </c>
      <c r="W365" s="21"/>
    </row>
    <row r="366" spans="1:23" x14ac:dyDescent="0.2">
      <c r="A366" s="20" t="s">
        <v>33</v>
      </c>
      <c r="B366" s="16">
        <v>36.585000000000001</v>
      </c>
      <c r="D366">
        <v>85.242999999999995</v>
      </c>
      <c r="F366" s="10">
        <v>121.828</v>
      </c>
      <c r="H366">
        <v>158.41300000000001</v>
      </c>
      <c r="J366">
        <v>182.92500000000001</v>
      </c>
      <c r="K366" s="21"/>
      <c r="N366" s="27">
        <v>36.585000000000001</v>
      </c>
      <c r="O366" s="28">
        <v>36.585000000000001</v>
      </c>
      <c r="R366" s="22">
        <v>121.828</v>
      </c>
      <c r="T366" s="10">
        <v>202.30099999999999</v>
      </c>
      <c r="V366" s="10">
        <v>192.375</v>
      </c>
      <c r="W366" s="21"/>
    </row>
    <row r="367" spans="1:23" x14ac:dyDescent="0.2">
      <c r="A367" s="20" t="s">
        <v>34</v>
      </c>
      <c r="B367" s="16">
        <v>60.563000000000002</v>
      </c>
      <c r="D367">
        <v>141.11199999999999</v>
      </c>
      <c r="F367" s="10">
        <v>201.67500000000001</v>
      </c>
      <c r="H367">
        <v>262.238</v>
      </c>
      <c r="J367">
        <v>302.81599999999997</v>
      </c>
      <c r="K367" s="21"/>
      <c r="N367" s="27">
        <v>60.563000000000002</v>
      </c>
      <c r="O367" s="28">
        <v>60.563000000000002</v>
      </c>
      <c r="R367" s="22">
        <v>201.67500000000001</v>
      </c>
      <c r="T367" s="10">
        <v>229.273</v>
      </c>
      <c r="V367" s="10">
        <v>178.023</v>
      </c>
      <c r="W367" s="21"/>
    </row>
    <row r="368" spans="1:23" x14ac:dyDescent="0.2">
      <c r="A368" s="20" t="s">
        <v>35</v>
      </c>
      <c r="B368" s="16">
        <v>48.296999999999997</v>
      </c>
      <c r="D368">
        <v>112.53100000000001</v>
      </c>
      <c r="F368" s="10">
        <v>160.828</v>
      </c>
      <c r="H368">
        <v>209.124</v>
      </c>
      <c r="J368">
        <v>241.483</v>
      </c>
      <c r="K368" s="21"/>
      <c r="N368" s="27">
        <v>48.296999999999997</v>
      </c>
      <c r="O368" s="28">
        <v>48.296999999999997</v>
      </c>
      <c r="R368" s="22">
        <v>160.828</v>
      </c>
      <c r="T368" s="10">
        <v>137.43299999999999</v>
      </c>
      <c r="V368" s="10">
        <v>187.94200000000001</v>
      </c>
      <c r="W368" s="21"/>
    </row>
    <row r="369" spans="1:23" x14ac:dyDescent="0.2">
      <c r="A369" s="20" t="s">
        <v>36</v>
      </c>
      <c r="B369" s="16">
        <v>5.1100000000000003</v>
      </c>
      <c r="D369">
        <v>11.904999999999999</v>
      </c>
      <c r="F369" s="10">
        <v>17.015000000000001</v>
      </c>
      <c r="H369">
        <v>22.125</v>
      </c>
      <c r="J369">
        <v>25.547999999999998</v>
      </c>
      <c r="K369" s="21"/>
      <c r="N369" s="27">
        <v>5.1100000000000003</v>
      </c>
      <c r="O369" s="28">
        <v>5.1100000000000003</v>
      </c>
      <c r="R369" s="22">
        <v>17.015000000000001</v>
      </c>
      <c r="T369" s="10">
        <v>25.687000000000001</v>
      </c>
      <c r="V369" s="10">
        <v>22.934000000000001</v>
      </c>
      <c r="W369" s="21"/>
    </row>
    <row r="370" spans="1:23" x14ac:dyDescent="0.2">
      <c r="A370" s="35" t="s">
        <v>37</v>
      </c>
      <c r="B370" s="36">
        <v>4.1769999999999996</v>
      </c>
      <c r="C370" s="24"/>
      <c r="D370" s="24">
        <v>9.7330000000000005</v>
      </c>
      <c r="E370" s="24"/>
      <c r="F370" s="25">
        <v>13.91</v>
      </c>
      <c r="G370" s="24"/>
      <c r="H370" s="24">
        <v>18.087</v>
      </c>
      <c r="I370" s="24"/>
      <c r="J370" s="24">
        <v>20.885000000000002</v>
      </c>
      <c r="K370" s="26"/>
      <c r="N370" s="29">
        <v>4.1769999999999996</v>
      </c>
      <c r="O370" s="30">
        <v>4.1769999999999996</v>
      </c>
      <c r="R370" s="23">
        <v>13.91</v>
      </c>
      <c r="S370" s="24"/>
      <c r="T370" s="25">
        <v>13.914</v>
      </c>
      <c r="U370" s="24"/>
      <c r="V370" s="25">
        <v>13.907</v>
      </c>
      <c r="W370" s="26"/>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ValidationQ_SBIwGCMs</vt:lpstr>
      <vt:lpstr>ValidationCs_SBILithFact2</vt:lpstr>
      <vt:lpstr>UncertaintyCs_SBILith1.5to2</vt:lpstr>
      <vt:lpstr>UncertaintyQs_SBILith1.5to2</vt:lpstr>
      <vt:lpstr>UncertaintyQs_SBCLith1.5to1</vt:lpstr>
      <vt:lpstr>UncertainQb_WSslope0.00030.0001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Amanda Wild</dc:creator>
  <cp:lastModifiedBy>Amanda Wild</cp:lastModifiedBy>
  <dcterms:created xsi:type="dcterms:W3CDTF">2022-11-05T18:44:20Z</dcterms:created>
  <dcterms:modified xsi:type="dcterms:W3CDTF">2022-12-30T20:10:25Z</dcterms:modified>
</cp:coreProperties>
</file>